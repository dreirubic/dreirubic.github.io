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 Tracker" sheetId="2" state="visible" r:id="rId4"/>
    <sheet name="Call Script" sheetId="3" state="visible" r:id="rId5"/>
    <sheet name="Email Templates" sheetId="4" state="visible" r:id="rId6"/>
    <sheet name="Read Me" sheetId="5" state="visible" r:id="rId7"/>
  </sheets>
  <definedNames>
    <definedName function="false" hidden="true" localSheetId="1" name="_xlnm._FilterDatabase" vbProcedure="false">'Lead Tracker'!$A$2:$Q$32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<sst xmlns="http://schemas.openxmlformats.org/spreadsheetml/2006/main" count="419" uniqueCount="245">
  <si>
    <t xml:space="preserve">Lead Tracker &amp; Call Kit</t>
  </si>
  <si>
    <t xml:space="preserve">Prepared by Andrei Rubic  |  SAMPLE WITH DUMMY DATA</t>
  </si>
  <si>
    <t xml:space="preserve">Report date</t>
  </si>
  <si>
    <t xml:space="preserve">Key numbers</t>
  </si>
  <si>
    <t xml:space="preserve">Total leads</t>
  </si>
  <si>
    <t xml:space="preserve">Contacted (any status after New)</t>
  </si>
  <si>
    <t xml:space="preserve">Viewings set</t>
  </si>
  <si>
    <t xml:space="preserve">Closed</t>
  </si>
  <si>
    <t xml:space="preserve">Follow-ups overdue</t>
  </si>
  <si>
    <t xml:space="preserve">Follow-ups due today or soon</t>
  </si>
  <si>
    <t xml:space="preserve">Close rate (closed / total)</t>
  </si>
  <si>
    <t xml:space="preserve">Leads by status</t>
  </si>
  <si>
    <t xml:space="preserve">Leads by source</t>
  </si>
  <si>
    <t xml:space="preserve">Status</t>
  </si>
  <si>
    <t xml:space="preserve">Leads</t>
  </si>
  <si>
    <t xml:space="preserve">Source</t>
  </si>
  <si>
    <t xml:space="preserve">New</t>
  </si>
  <si>
    <t xml:space="preserve">Online listing</t>
  </si>
  <si>
    <t xml:space="preserve">Contacted</t>
  </si>
  <si>
    <t xml:space="preserve">Referral</t>
  </si>
  <si>
    <t xml:space="preserve">Viewing set</t>
  </si>
  <si>
    <t xml:space="preserve">Walk-in</t>
  </si>
  <si>
    <t xml:space="preserve">Negotiating</t>
  </si>
  <si>
    <t xml:space="preserve">Cold call</t>
  </si>
  <si>
    <t xml:space="preserve">Dropped</t>
  </si>
  <si>
    <t xml:space="preserve">Leads by type</t>
  </si>
  <si>
    <t xml:space="preserve">Seller</t>
  </si>
  <si>
    <t xml:space="preserve">Buyer</t>
  </si>
  <si>
    <t xml:space="preserve">SAMPLE DATA: all names, numbers, and notes are fictional and for illustration only</t>
  </si>
  <si>
    <t xml:space="preserve">Lead ID</t>
  </si>
  <si>
    <t xml:space="preserve">Date Added</t>
  </si>
  <si>
    <t xml:space="preserve">Lead</t>
  </si>
  <si>
    <t xml:space="preserve">Type</t>
  </si>
  <si>
    <t xml:space="preserve">Contact (dummy)</t>
  </si>
  <si>
    <t xml:space="preserve">Interest / Location</t>
  </si>
  <si>
    <t xml:space="preserve">Budget or Asking (PHP)</t>
  </si>
  <si>
    <t xml:space="preserve">Last Call</t>
  </si>
  <si>
    <t xml:space="preserve">Call Outcome</t>
  </si>
  <si>
    <t xml:space="preserve">Priority</t>
  </si>
  <si>
    <t xml:space="preserve">Next Action</t>
  </si>
  <si>
    <t xml:space="preserve">Follow-up Date</t>
  </si>
  <si>
    <t xml:space="preserve">Days to Follow-up</t>
  </si>
  <si>
    <t xml:space="preserve">Follow-up Flag</t>
  </si>
  <si>
    <t xml:space="preserve">Notes</t>
  </si>
  <si>
    <t xml:space="preserve">LD-001</t>
  </si>
  <si>
    <t xml:space="preserve">Seller 01 (sample)</t>
  </si>
  <si>
    <t xml:space="preserve">0900 000 0001</t>
  </si>
  <si>
    <t xml:space="preserve">House &amp; lot, Cainta</t>
  </si>
  <si>
    <t xml:space="preserve">Low</t>
  </si>
  <si>
    <t xml:space="preserve">Make first call</t>
  </si>
  <si>
    <t xml:space="preserve">EXAMPLE ROW: shows the expected format. Replace with your own leads.</t>
  </si>
  <si>
    <t xml:space="preserve">LD-002</t>
  </si>
  <si>
    <t xml:space="preserve">Buyer 02 (sample)</t>
  </si>
  <si>
    <t xml:space="preserve">0900 000 0002</t>
  </si>
  <si>
    <t xml:space="preserve">Townhouse in General Trias</t>
  </si>
  <si>
    <t xml:space="preserve">Call back requested</t>
  </si>
  <si>
    <t xml:space="preserve">Confirm viewing</t>
  </si>
  <si>
    <t xml:space="preserve">LD-003</t>
  </si>
  <si>
    <t xml:space="preserve">Buyer 03 (sample)</t>
  </si>
  <si>
    <t xml:space="preserve">0900 000 0003</t>
  </si>
  <si>
    <t xml:space="preserve">Townhouse in Silang</t>
  </si>
  <si>
    <t xml:space="preserve">Answered - interested</t>
  </si>
  <si>
    <t xml:space="preserve">High</t>
  </si>
  <si>
    <t xml:space="preserve">Send offer update</t>
  </si>
  <si>
    <t xml:space="preserve">LD-004</t>
  </si>
  <si>
    <t xml:space="preserve">Seller 04 (sample)</t>
  </si>
  <si>
    <t xml:space="preserve">0900 000 0004</t>
  </si>
  <si>
    <t xml:space="preserve">House &amp; lot, Antipolo</t>
  </si>
  <si>
    <t xml:space="preserve">Answered - not now</t>
  </si>
  <si>
    <t xml:space="preserve">Medium</t>
  </si>
  <si>
    <t xml:space="preserve">Send recap email</t>
  </si>
  <si>
    <t xml:space="preserve">LD-005</t>
  </si>
  <si>
    <t xml:space="preserve">Seller 05 (sample)</t>
  </si>
  <si>
    <t xml:space="preserve">0900 000 0005</t>
  </si>
  <si>
    <t xml:space="preserve">House &amp; lot, Bacoor</t>
  </si>
  <si>
    <t xml:space="preserve">Prefers calls after 5 PM (sample note)</t>
  </si>
  <si>
    <t xml:space="preserve">LD-006</t>
  </si>
  <si>
    <t xml:space="preserve">Buyer 06 (sample)</t>
  </si>
  <si>
    <t xml:space="preserve">0900 000 0006</t>
  </si>
  <si>
    <t xml:space="preserve">House &amp; lot in Cainta</t>
  </si>
  <si>
    <t xml:space="preserve">LD-007</t>
  </si>
  <si>
    <t xml:space="preserve">Seller 07 (sample)</t>
  </si>
  <si>
    <t xml:space="preserve">0900 000 0007</t>
  </si>
  <si>
    <t xml:space="preserve">LD-008</t>
  </si>
  <si>
    <t xml:space="preserve">Buyer 08 (sample)</t>
  </si>
  <si>
    <t xml:space="preserve">0900 000 0008</t>
  </si>
  <si>
    <t xml:space="preserve">House &amp; lot in Dasmariñas</t>
  </si>
  <si>
    <t xml:space="preserve">LD-009</t>
  </si>
  <si>
    <t xml:space="preserve">Seller 09 (sample)</t>
  </si>
  <si>
    <t xml:space="preserve">0900 000 0009</t>
  </si>
  <si>
    <t xml:space="preserve">Residential lot, Dasmariñas</t>
  </si>
  <si>
    <t xml:space="preserve">LD-010</t>
  </si>
  <si>
    <t xml:space="preserve">Buyer 10 (sample)</t>
  </si>
  <si>
    <t xml:space="preserve">0900 000 0010</t>
  </si>
  <si>
    <t xml:space="preserve">Lot in Dasmariñas</t>
  </si>
  <si>
    <t xml:space="preserve">Asked for photos of the lot (sample note)</t>
  </si>
  <si>
    <t xml:space="preserve">LD-011</t>
  </si>
  <si>
    <t xml:space="preserve">Seller 11 (sample)</t>
  </si>
  <si>
    <t xml:space="preserve">0900 000 0011</t>
  </si>
  <si>
    <t xml:space="preserve">LD-012</t>
  </si>
  <si>
    <t xml:space="preserve">Seller 12 (sample)</t>
  </si>
  <si>
    <t xml:space="preserve">0900 000 0012</t>
  </si>
  <si>
    <t xml:space="preserve">Commercial lot, Cainta</t>
  </si>
  <si>
    <t xml:space="preserve">No answer</t>
  </si>
  <si>
    <t xml:space="preserve">LD-013</t>
  </si>
  <si>
    <t xml:space="preserve">Buyer 13 (sample)</t>
  </si>
  <si>
    <t xml:space="preserve">0900 000 0013</t>
  </si>
  <si>
    <t xml:space="preserve">Lot in Imus</t>
  </si>
  <si>
    <t xml:space="preserve">LD-014</t>
  </si>
  <si>
    <t xml:space="preserve">Buyer 14 (sample)</t>
  </si>
  <si>
    <t xml:space="preserve">0900 000 0014</t>
  </si>
  <si>
    <t xml:space="preserve">LD-015</t>
  </si>
  <si>
    <t xml:space="preserve">Seller 15 (sample)</t>
  </si>
  <si>
    <t xml:space="preserve">0900 000 0015</t>
  </si>
  <si>
    <t xml:space="preserve">LD-016</t>
  </si>
  <si>
    <t xml:space="preserve">Seller 16 (sample)</t>
  </si>
  <si>
    <t xml:space="preserve">0900 000 0016</t>
  </si>
  <si>
    <t xml:space="preserve">LD-017</t>
  </si>
  <si>
    <t xml:space="preserve">Buyer 17 (sample)</t>
  </si>
  <si>
    <t xml:space="preserve">0900 000 0017</t>
  </si>
  <si>
    <t xml:space="preserve">Townhouse in Taytay</t>
  </si>
  <si>
    <t xml:space="preserve">LD-018</t>
  </si>
  <si>
    <t xml:space="preserve">Seller 18 (sample)</t>
  </si>
  <si>
    <t xml:space="preserve">0900 000 0018</t>
  </si>
  <si>
    <t xml:space="preserve">House &amp; lot, Taytay</t>
  </si>
  <si>
    <t xml:space="preserve">Spouse joins the viewing (sample note)</t>
  </si>
  <si>
    <t xml:space="preserve">LD-019</t>
  </si>
  <si>
    <t xml:space="preserve">Buyer 19 (sample)</t>
  </si>
  <si>
    <t xml:space="preserve">0900 000 0019</t>
  </si>
  <si>
    <t xml:space="preserve">House &amp; lot in Silang</t>
  </si>
  <si>
    <t xml:space="preserve">LD-020</t>
  </si>
  <si>
    <t xml:space="preserve">Seller 20 (sample)</t>
  </si>
  <si>
    <t xml:space="preserve">0900 000 0020</t>
  </si>
  <si>
    <t xml:space="preserve">Commercial lot, Antipolo</t>
  </si>
  <si>
    <t xml:space="preserve">LD-021</t>
  </si>
  <si>
    <t xml:space="preserve">Buyer 21 (sample)</t>
  </si>
  <si>
    <t xml:space="preserve">0900 000 0021</t>
  </si>
  <si>
    <t xml:space="preserve">Lot in Bacoor</t>
  </si>
  <si>
    <t xml:space="preserve">LD-022</t>
  </si>
  <si>
    <t xml:space="preserve">Buyer 22 (sample)</t>
  </si>
  <si>
    <t xml:space="preserve">0900 000 0022</t>
  </si>
  <si>
    <t xml:space="preserve">LD-023</t>
  </si>
  <si>
    <t xml:space="preserve">Seller 23 (sample)</t>
  </si>
  <si>
    <t xml:space="preserve">0900 000 0023</t>
  </si>
  <si>
    <t xml:space="preserve">LD-024</t>
  </si>
  <si>
    <t xml:space="preserve">Buyer 24 (sample)</t>
  </si>
  <si>
    <t xml:space="preserve">0900 000 0024</t>
  </si>
  <si>
    <t xml:space="preserve">LD-025</t>
  </si>
  <si>
    <t xml:space="preserve">Buyer 25 (sample)</t>
  </si>
  <si>
    <t xml:space="preserve">0900 000 0025</t>
  </si>
  <si>
    <t xml:space="preserve">House &amp; lot in Imus</t>
  </si>
  <si>
    <t xml:space="preserve">LD-026</t>
  </si>
  <si>
    <t xml:space="preserve">Buyer 26 (sample)</t>
  </si>
  <si>
    <t xml:space="preserve">0900 000 0026</t>
  </si>
  <si>
    <t xml:space="preserve">Townhouse in Cainta</t>
  </si>
  <si>
    <t xml:space="preserve">LD-027</t>
  </si>
  <si>
    <t xml:space="preserve">Buyer 27 (sample)</t>
  </si>
  <si>
    <t xml:space="preserve">0900 000 0027</t>
  </si>
  <si>
    <t xml:space="preserve">LD-028</t>
  </si>
  <si>
    <t xml:space="preserve">Seller 28 (sample)</t>
  </si>
  <si>
    <t xml:space="preserve">0900 000 0028</t>
  </si>
  <si>
    <t xml:space="preserve">LD-029</t>
  </si>
  <si>
    <t xml:space="preserve">Seller 29 (sample)</t>
  </si>
  <si>
    <t xml:space="preserve">0900 000 0029</t>
  </si>
  <si>
    <t xml:space="preserve">Residential lot, Antipolo</t>
  </si>
  <si>
    <t xml:space="preserve">LD-030</t>
  </si>
  <si>
    <t xml:space="preserve">Buyer 30 (sample)</t>
  </si>
  <si>
    <t xml:space="preserve">0900 000 0030</t>
  </si>
  <si>
    <t xml:space="preserve">Lot in General Trias</t>
  </si>
  <si>
    <t xml:space="preserve">Call Script (Sample)</t>
  </si>
  <si>
    <t xml:space="preserve">Edit the [brackets]. Keep calls short, friendly, and always end with a next step.</t>
  </si>
  <si>
    <t xml:space="preserve">1. OPENING</t>
  </si>
  <si>
    <t xml:space="preserve">Good [morning/afternoon], may I speak with [Name]? This is Andrei, calling on behalf of [Company].</t>
  </si>
  <si>
    <t xml:space="preserve">I understand you're [selling/looking for] a property in [City]. Is now a good time for a quick 2-minute chat?</t>
  </si>
  <si>
    <t xml:space="preserve">2A. QUESTIONS FOR SELLERS</t>
  </si>
  <si>
    <t xml:space="preserve">Where is the property, and what is the lot area?</t>
  </si>
  <si>
    <t xml:space="preserve">Is the title clean and in your name? Are the documents ready?</t>
  </si>
  <si>
    <t xml:space="preserve">What is your asking price, and is there room to negotiate?</t>
  </si>
  <si>
    <t xml:space="preserve">What is your timeline for selling, and is the property occupied?</t>
  </si>
  <si>
    <t xml:space="preserve">2B. QUESTIONS FOR BUYERS</t>
  </si>
  <si>
    <t xml:space="preserve">What is your budget range, and how will you pay (cash, bank loan, or in-house financing)?</t>
  </si>
  <si>
    <t xml:space="preserve">Which cities or areas do you prefer, and what property type and size?</t>
  </si>
  <si>
    <t xml:space="preserve">What are your must-haves, and when do you want to move?</t>
  </si>
  <si>
    <t xml:space="preserve">3. HANDLING OBJECTIONS</t>
  </si>
  <si>
    <t xml:space="preserve">"I'm just looking."</t>
  </si>
  <si>
    <t xml:space="preserve">That's fine. May I send a short list of options that match what you described? You can look at it whenever you like.</t>
  </si>
  <si>
    <t xml:space="preserve">"Not interested right now."</t>
  </si>
  <si>
    <t xml:space="preserve">Understood. Would it be okay if I check in again in [two weeks]? I'll only call if something matches your needs.</t>
  </si>
  <si>
    <t xml:space="preserve">"How did you get my number?"</t>
  </si>
  <si>
    <t xml:space="preserve">You inquired about [property / listing] on [source]. If you'd rather not be contacted, I'll note that right away.</t>
  </si>
  <si>
    <t xml:space="preserve">"The price is too high / too low."</t>
  </si>
  <si>
    <t xml:space="preserve">Thank you for telling me. Let me share recent comparable listings in [City] so we can look at the numbers together.</t>
  </si>
  <si>
    <t xml:space="preserve">"Call me later."</t>
  </si>
  <si>
    <t xml:space="preserve">Of course. What day and time works best? I'll call then and note it in my schedule.</t>
  </si>
  <si>
    <t xml:space="preserve">4. CLOSING</t>
  </si>
  <si>
    <t xml:space="preserve">Let me confirm: [recap]. The next step is [viewing / documents / call back] on [date and time].</t>
  </si>
  <si>
    <t xml:space="preserve">Thank you for your time, [Name]. I'll send a short summary by email today.</t>
  </si>
  <si>
    <t xml:space="preserve">5. AFTER THE CALL</t>
  </si>
  <si>
    <t xml:space="preserve">Log the outcome and follow-up date in the Lead Tracker the same day.</t>
  </si>
  <si>
    <t xml:space="preserve">Send the recap email within 24 hours (see Email Templates sheet).</t>
  </si>
  <si>
    <t xml:space="preserve">Follow-up Email Templates (Sample)</t>
  </si>
  <si>
    <t xml:space="preserve">Replace the [brackets] before sending. Keep each email under 120 words.</t>
  </si>
  <si>
    <t xml:space="preserve">Template</t>
  </si>
  <si>
    <t xml:space="preserve">When to use</t>
  </si>
  <si>
    <t xml:space="preserve">Subject</t>
  </si>
  <si>
    <t xml:space="preserve">Body</t>
  </si>
  <si>
    <t xml:space="preserve">1. After a good call</t>
  </si>
  <si>
    <t xml:space="preserve">Same day, lead was interested</t>
  </si>
  <si>
    <t xml:space="preserve">Summary of our call: [Property / Area]</t>
  </si>
  <si>
    <t xml:space="preserve">Hi [Name],
Thank you for speaking with me today. As discussed, you are [selling / looking for] a [property type] in [City], with [price or budget].
Next step: [viewing / documents / call back] on [date and time].
If anything above needs correcting, just reply to this email.
Best regards,
Andrei Rubic</t>
  </si>
  <si>
    <t xml:space="preserve">2. No answer</t>
  </si>
  <si>
    <t xml:space="preserve">After two missed calls</t>
  </si>
  <si>
    <t xml:space="preserve">Trying to reach you about [Property / Area]</t>
  </si>
  <si>
    <t xml:space="preserve">Hi [Name],
I tried calling you about [property / inquiry] but couldn't reach you. When is a good time for a short call?
You can also reply here with the best time and number, and I'll follow your schedule.
Best regards,
Andrei Rubic</t>
  </si>
  <si>
    <t xml:space="preserve">3. Viewing confirmation</t>
  </si>
  <si>
    <t xml:space="preserve">Day before a scheduled viewing</t>
  </si>
  <si>
    <t xml:space="preserve">Reminder: viewing on [date] at [time]</t>
  </si>
  <si>
    <t xml:space="preserve">Hi [Name],
This is a friendly reminder of your viewing:
Property: [address or area]
Date and time: [date, time]
Meeting point: [location]
Please reply to confirm, or let me know if you need to reschedule.
Best regards,
Andrei Rubic</t>
  </si>
  <si>
    <t xml:space="preserve">Lead Tracker &amp; Call Kit: Sample Workbook</t>
  </si>
  <si>
    <t xml:space="preserve">SAMPLE with dummy data. Prepared by Andrei Rubic to show how I track real estate leads and follow-ups.</t>
  </si>
  <si>
    <t xml:space="preserve">Purpose</t>
  </si>
  <si>
    <t xml:space="preserve">Shows how seller and buyer leads are logged, followed up on time, and summarized for quick review.</t>
  </si>
  <si>
    <t xml:space="preserve">IMPORTANT</t>
  </si>
  <si>
    <t xml:space="preserve">All leads, names, phone numbers, prices, and notes are fictional. Nothing here is real client data or from any past employer.</t>
  </si>
  <si>
    <t xml:space="preserve">Sheets</t>
  </si>
  <si>
    <t xml:space="preserve">Dashboard (auto-calculated) | Lead Tracker (the log) | Call Script | Email Templates | Read Me.</t>
  </si>
  <si>
    <t xml:space="preserve">What to edit</t>
  </si>
  <si>
    <t xml:space="preserve">Blue-text cells on Lead Tracker, and the yellow report date on Dashboard. Everything else updates automatically.</t>
  </si>
  <si>
    <t xml:space="preserve">Auto-calculated</t>
  </si>
  <si>
    <t xml:space="preserve">Lead Tracker columns O and P (days to follow-up and flag) and all Dashboard numbers.</t>
  </si>
  <si>
    <t xml:space="preserve">Follow-up flag</t>
  </si>
  <si>
    <t xml:space="preserve">Overdue = date has passed | Due today | Due soon = within 2 days | On track. Closed and Dropped leads show no flag.</t>
  </si>
  <si>
    <t xml:space="preserve">Example row</t>
  </si>
  <si>
    <t xml:space="preserve">The row marked EXAMPLE ROW in the Notes column shows the expected format. Replace or delete it when using real data.</t>
  </si>
  <si>
    <t xml:space="preserve">To add leads</t>
  </si>
  <si>
    <t xml:space="preserve">Insert rows inside the table (above the last row) so the Dashboard formulas include them.</t>
  </si>
  <si>
    <t xml:space="preserve">Phone numbers</t>
  </si>
  <si>
    <t xml:space="preserve">Dummy numbers use the format 0900 000 0001 and are not real.</t>
  </si>
  <si>
    <t xml:space="preserve">Legend</t>
  </si>
  <si>
    <t xml:space="preserve">Blue text</t>
  </si>
  <si>
    <t xml:space="preserve">Input you type or paste</t>
  </si>
  <si>
    <t xml:space="preserve">Black text</t>
  </si>
  <si>
    <t xml:space="preserve">Formula (calculated automatically)</t>
  </si>
  <si>
    <t xml:space="preserve">Yellow cell</t>
  </si>
  <si>
    <t xml:space="preserve">Report date: change it to the day you are reviewing (or replace with =TODAY())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</si>
</sst>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#,##0"/>
    <numFmt numFmtId="167" formatCode="0%"/>
    <numFmt numFmtId="168" formatCode="General"/>
    <numFmt numFmtId="169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52819"/>
      <name val="Arial"/>
      <family val="0"/>
      <charset val="1"/>
    </font>
    <font>
      <i val="true"/>
      <sz val="10"/>
      <color rgb="FFA8651F"/>
      <name val="Arial"/>
      <family val="0"/>
      <charset val="1"/>
    </font>
    <font>
      <b val="true"/>
      <sz val="10"/>
      <color rgb="FF35281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35281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A865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A8651F"/>
      <name val="Arial"/>
      <family val="0"/>
      <charset val="1"/>
    </font>
    <font>
      <b val="true"/>
      <sz val="18"/>
      <color rgb="FF35281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35281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6E8"/>
        <bgColor rgb="FFFFF2CC"/>
      </patternFill>
    </fill>
    <fill>
      <patternFill patternType="solid">
        <fgColor rgb="FF352819"/>
        <bgColor rgb="FF333333"/>
      </patternFill>
    </fill>
    <fill>
      <patternFill patternType="solid">
        <fgColor rgb="FFFFF2CC"/>
        <bgColor rgb="FFF6F6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9BF"/>
      </left>
      <right style="thin">
        <color rgb="FFDCD9BF"/>
      </right>
      <top style="thin">
        <color rgb="FFDCD9BF"/>
      </top>
      <bottom style="thin">
        <color rgb="FFDCD9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352819"/>
          <bgColor rgb="FF000000"/>
        </patternFill>
      </fill>
    </dxf>
    <dxf>
      <fill>
        <patternFill patternType="solid">
          <fgColor rgb="FFF6F6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DCD9BF"/>
      <rgbColor rgb="FF878787"/>
      <rgbColor rgb="FF9999FF"/>
      <rgbColor rgb="FF993366"/>
      <rgbColor rgb="FFFFF2CC"/>
      <rgbColor rgb="FFF6F6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888888"/>
      <rgbColor rgb="FF003366"/>
      <rgbColor rgb="FF339966"/>
      <rgbColor rgb="FF003300"/>
      <rgbColor rgb="FF352819"/>
      <rgbColor rgb="FFA865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status (dummy data)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352819"/>
            </a:solidFill>
            <a:ln w="9360">
              <a:solidFill>
                <a:srgbClr val="35281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Dashboard!$B$17:$B$22</c:f>
              <c:strCache>
                <c:ptCount val="6"/>
                <c:pt idx="0">
                  <c:v>New</c:v>
                </c:pt>
                <c:pt idx="1">
                  <c:v>Contacted</c:v>
                </c:pt>
                <c:pt idx="2">
                  <c:v>Viewing set</c:v>
                </c:pt>
                <c:pt idx="3">
                  <c:v>Negotiating</c:v>
                </c:pt>
                <c:pt idx="4">
                  <c:v>Closed</c:v>
                </c:pt>
                <c:pt idx="5">
                  <c:v>Dropped</c:v>
                </c:pt>
              </c:strCache>
            </c:strRef>
          </c:cat>
          <c:val>
            <c:numRef>
              <c:f>Dashboard!$C$17:$C$22</c:f>
              <c:numCache>
                <c:formatCode>General</c:formatCode>
                <c:ptCount val="6"/>
                <c:pt idx="0">
                  <c:v>3</c:v>
                </c:pt>
                <c:pt idx="1">
                  <c:v>15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83225467"/>
        <c:axId val="78241111"/>
      </c:barChart>
      <c:catAx>
        <c:axId val="83225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41111"/>
        <c:crosses val="autoZero"/>
        <c:auto val="1"/>
        <c:lblAlgn val="ctr"/>
        <c:lblOffset val="100"/>
        <c:noMultiLvlLbl val="0"/>
      </c:catAx>
      <c:valAx>
        <c:axId val="7824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25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40680</xdr:rowOff>
    </xdr:from>
    <xdr:to>
      <xdr:col>5</xdr:col>
      <xdr:colOff>261720</xdr:colOff>
      <xdr:row>39</xdr:row>
      <xdr:rowOff>62640</xdr:rowOff>
    </xdr:to>
    <xdr:graphicFrame>
      <xdr:nvGraphicFramePr>
        <xdr:cNvPr id="0" name="Chart 1"/>
        <xdr:cNvGraphicFramePr/>
      </xdr:nvGraphicFramePr>
      <xdr:xfrm>
        <a:off x="21132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52819"/>
    <pageSetUpPr fitToPage="true"/>
  </sheetPr>
  <dimension ref="B2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n">
        <v>46308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6" t="s">
        <v>4</v>
      </c>
      <c r="C7" s="7" t="n">
        <f aca="false">COUNTA('Lead Tracker'!$A$3:$A$32)</f>
        <v>30</v>
      </c>
    </row>
    <row r="8" customFormat="false" ht="15" hidden="false" customHeight="false" outlineLevel="0" collapsed="false">
      <c r="B8" s="6" t="s">
        <v>5</v>
      </c>
      <c r="C8" s="7" t="n">
        <f aca="false">COUNTA('Lead Tracker'!$A$3:$A$32)-COUNTIF('Lead Tracker'!$L$3:$L$32,"New")</f>
        <v>27</v>
      </c>
    </row>
    <row r="9" customFormat="false" ht="15" hidden="false" customHeight="false" outlineLevel="0" collapsed="false">
      <c r="B9" s="6" t="s">
        <v>6</v>
      </c>
      <c r="C9" s="7" t="n">
        <f aca="false">COUNTIF('Lead Tracker'!$L$3:$L$32,"Viewing set")</f>
        <v>5</v>
      </c>
    </row>
    <row r="10" customFormat="false" ht="15" hidden="false" customHeight="false" outlineLevel="0" collapsed="false">
      <c r="B10" s="6" t="s">
        <v>7</v>
      </c>
      <c r="C10" s="7" t="n">
        <f aca="false">COUNTIF('Lead Tracker'!$L$3:$L$32,"Closed")</f>
        <v>1</v>
      </c>
    </row>
    <row r="11" customFormat="false" ht="15" hidden="false" customHeight="false" outlineLevel="0" collapsed="false">
      <c r="B11" s="6" t="s">
        <v>8</v>
      </c>
      <c r="C11" s="7" t="n">
        <f aca="false">COUNTIF('Lead Tracker'!$P$3:$P$32,"Overdue")</f>
        <v>4</v>
      </c>
    </row>
    <row r="12" customFormat="false" ht="15" hidden="false" customHeight="false" outlineLevel="0" collapsed="false">
      <c r="B12" s="6" t="s">
        <v>9</v>
      </c>
      <c r="C12" s="7" t="n">
        <f aca="false">COUNTIF('Lead Tracker'!$P$3:$P$32,"Due today")+COUNTIF('Lead Tracker'!$P$3:$P$32,"Due soon")</f>
        <v>7</v>
      </c>
    </row>
    <row r="13" customFormat="false" ht="15" hidden="false" customHeight="false" outlineLevel="0" collapsed="false">
      <c r="B13" s="6" t="s">
        <v>10</v>
      </c>
      <c r="C13" s="8" t="n">
        <f aca="false">IFERROR(COUNTIF('Lead Tracker'!$L$3:$L$32,"Closed")/COUNTA('Lead Tracker'!$A$3:$A$32),0)</f>
        <v>0.0333333333333333</v>
      </c>
    </row>
    <row r="15" customFormat="false" ht="15" hidden="false" customHeight="false" outlineLevel="0" collapsed="false">
      <c r="B15" s="5" t="s">
        <v>11</v>
      </c>
      <c r="E15" s="5" t="s">
        <v>12</v>
      </c>
    </row>
    <row r="16" customFormat="false" ht="15" hidden="false" customHeight="false" outlineLevel="0" collapsed="false">
      <c r="B16" s="9" t="s">
        <v>13</v>
      </c>
      <c r="C16" s="9" t="s">
        <v>14</v>
      </c>
      <c r="E16" s="9" t="s">
        <v>15</v>
      </c>
      <c r="F16" s="9" t="s">
        <v>14</v>
      </c>
    </row>
    <row r="17" customFormat="false" ht="15" hidden="false" customHeight="false" outlineLevel="0" collapsed="false">
      <c r="B17" s="10" t="s">
        <v>16</v>
      </c>
      <c r="C17" s="11" t="n">
        <f aca="false">COUNTIF('Lead Tracker'!$L$3:$L$32,B17)</f>
        <v>3</v>
      </c>
      <c r="E17" s="10" t="s">
        <v>17</v>
      </c>
      <c r="F17" s="11" t="n">
        <f aca="false">COUNTIF('Lead Tracker'!$F$3:$F$32,E17)</f>
        <v>10</v>
      </c>
    </row>
    <row r="18" customFormat="false" ht="15" hidden="false" customHeight="false" outlineLevel="0" collapsed="false">
      <c r="B18" s="10" t="s">
        <v>18</v>
      </c>
      <c r="C18" s="11" t="n">
        <f aca="false">COUNTIF('Lead Tracker'!$L$3:$L$32,B18)</f>
        <v>15</v>
      </c>
      <c r="E18" s="10" t="s">
        <v>19</v>
      </c>
      <c r="F18" s="11" t="n">
        <f aca="false">COUNTIF('Lead Tracker'!$F$3:$F$32,E18)</f>
        <v>9</v>
      </c>
    </row>
    <row r="19" customFormat="false" ht="15" hidden="false" customHeight="false" outlineLevel="0" collapsed="false">
      <c r="B19" s="10" t="s">
        <v>20</v>
      </c>
      <c r="C19" s="11" t="n">
        <f aca="false">COUNTIF('Lead Tracker'!$L$3:$L$32,B19)</f>
        <v>5</v>
      </c>
      <c r="E19" s="10" t="s">
        <v>21</v>
      </c>
      <c r="F19" s="11" t="n">
        <f aca="false">COUNTIF('Lead Tracker'!$F$3:$F$32,E19)</f>
        <v>6</v>
      </c>
    </row>
    <row r="20" customFormat="false" ht="15" hidden="false" customHeight="false" outlineLevel="0" collapsed="false">
      <c r="B20" s="10" t="s">
        <v>22</v>
      </c>
      <c r="C20" s="11" t="n">
        <f aca="false">COUNTIF('Lead Tracker'!$L$3:$L$32,B20)</f>
        <v>4</v>
      </c>
      <c r="E20" s="10" t="s">
        <v>23</v>
      </c>
      <c r="F20" s="11" t="n">
        <f aca="false">COUNTIF('Lead Tracker'!$F$3:$F$32,E20)</f>
        <v>5</v>
      </c>
    </row>
    <row r="21" customFormat="false" ht="15" hidden="false" customHeight="false" outlineLevel="0" collapsed="false">
      <c r="B21" s="10" t="s">
        <v>7</v>
      </c>
      <c r="C21" s="11" t="n">
        <f aca="false">COUNTIF('Lead Tracker'!$L$3:$L$32,B21)</f>
        <v>1</v>
      </c>
    </row>
    <row r="22" customFormat="false" ht="15" hidden="false" customHeight="false" outlineLevel="0" collapsed="false">
      <c r="B22" s="10" t="s">
        <v>24</v>
      </c>
      <c r="C22" s="11" t="n">
        <f aca="false">COUNTIF('Lead Tracker'!$L$3:$L$32,B22)</f>
        <v>2</v>
      </c>
      <c r="E22" s="5" t="s">
        <v>25</v>
      </c>
    </row>
    <row r="23" customFormat="false" ht="15" hidden="false" customHeight="false" outlineLevel="0" collapsed="false">
      <c r="E23" s="10" t="s">
        <v>26</v>
      </c>
      <c r="F23" s="11" t="n">
        <f aca="false">COUNTIF('Lead Tracker'!$D$3:$D$32,E23)</f>
        <v>14</v>
      </c>
    </row>
    <row r="24" customFormat="false" ht="15" hidden="false" customHeight="false" outlineLevel="0" collapsed="false">
      <c r="E24" s="10" t="s">
        <v>27</v>
      </c>
      <c r="F24" s="11" t="n">
        <f aca="false">COUNTIF('Lead Tracker'!$D$3:$D$32,E24)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tru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9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40"/>
  </cols>
  <sheetData>
    <row r="1" customFormat="false" ht="15" hidden="false" customHeight="false" outlineLevel="0" collapsed="false">
      <c r="A1" s="12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customFormat="false" ht="31.5" hidden="false" customHeight="true" outlineLevel="0" collapsed="false">
      <c r="A2" s="13" t="s">
        <v>29</v>
      </c>
      <c r="B2" s="13" t="s">
        <v>30</v>
      </c>
      <c r="C2" s="13" t="s">
        <v>31</v>
      </c>
      <c r="D2" s="13" t="s">
        <v>32</v>
      </c>
      <c r="E2" s="13" t="s">
        <v>33</v>
      </c>
      <c r="F2" s="13" t="s">
        <v>15</v>
      </c>
      <c r="G2" s="13" t="s">
        <v>34</v>
      </c>
      <c r="H2" s="13" t="s">
        <v>35</v>
      </c>
      <c r="I2" s="13" t="s">
        <v>36</v>
      </c>
      <c r="J2" s="13" t="s">
        <v>37</v>
      </c>
      <c r="K2" s="13" t="s">
        <v>38</v>
      </c>
      <c r="L2" s="13" t="s">
        <v>13</v>
      </c>
      <c r="M2" s="13" t="s">
        <v>39</v>
      </c>
      <c r="N2" s="13" t="s">
        <v>40</v>
      </c>
      <c r="O2" s="13" t="s">
        <v>41</v>
      </c>
      <c r="P2" s="13" t="s">
        <v>42</v>
      </c>
      <c r="Q2" s="13" t="s">
        <v>43</v>
      </c>
    </row>
    <row r="3" customFormat="false" ht="15" hidden="false" customHeight="false" outlineLevel="0" collapsed="false">
      <c r="A3" s="14" t="s">
        <v>44</v>
      </c>
      <c r="B3" s="15" t="n">
        <v>46271</v>
      </c>
      <c r="C3" s="16" t="s">
        <v>45</v>
      </c>
      <c r="D3" s="16" t="s">
        <v>26</v>
      </c>
      <c r="E3" s="16" t="s">
        <v>46</v>
      </c>
      <c r="F3" s="16" t="s">
        <v>17</v>
      </c>
      <c r="G3" s="16" t="s">
        <v>47</v>
      </c>
      <c r="H3" s="17" t="n">
        <v>3200000</v>
      </c>
      <c r="I3" s="15"/>
      <c r="J3" s="16"/>
      <c r="K3" s="16" t="s">
        <v>48</v>
      </c>
      <c r="L3" s="16" t="s">
        <v>16</v>
      </c>
      <c r="M3" s="16" t="s">
        <v>49</v>
      </c>
      <c r="N3" s="15" t="n">
        <v>46320</v>
      </c>
      <c r="O3" s="18" t="n">
        <f aca="false">IF(OR(N3="",L3="Closed",L3="Dropped"),"",N3-Dashboard!$C$4)</f>
        <v>12</v>
      </c>
      <c r="P3" s="19" t="str">
        <f aca="false">IF(O3="","",IF(O3&lt;0,"Overdue",IF(O3=0,"Due today",IF(O3&lt;=2,"Due soon","On track"))))</f>
        <v>On track</v>
      </c>
      <c r="Q3" s="10" t="s">
        <v>50</v>
      </c>
    </row>
    <row r="4" customFormat="false" ht="15" hidden="false" customHeight="false" outlineLevel="0" collapsed="false">
      <c r="A4" s="20" t="s">
        <v>51</v>
      </c>
      <c r="B4" s="21" t="n">
        <v>46271</v>
      </c>
      <c r="C4" s="22" t="s">
        <v>52</v>
      </c>
      <c r="D4" s="22" t="s">
        <v>27</v>
      </c>
      <c r="E4" s="22" t="s">
        <v>53</v>
      </c>
      <c r="F4" s="22" t="s">
        <v>17</v>
      </c>
      <c r="G4" s="22" t="s">
        <v>54</v>
      </c>
      <c r="H4" s="23" t="n">
        <v>5000000</v>
      </c>
      <c r="I4" s="21" t="n">
        <v>46272</v>
      </c>
      <c r="J4" s="22" t="s">
        <v>55</v>
      </c>
      <c r="K4" s="22" t="s">
        <v>48</v>
      </c>
      <c r="L4" s="22" t="s">
        <v>20</v>
      </c>
      <c r="M4" s="22" t="s">
        <v>56</v>
      </c>
      <c r="N4" s="21" t="n">
        <v>46314</v>
      </c>
      <c r="O4" s="24" t="n">
        <f aca="false">IF(OR(N4="",L4="Closed",L4="Dropped"),"",N4-Dashboard!$C$4)</f>
        <v>6</v>
      </c>
      <c r="P4" s="25" t="str">
        <f aca="false">IF(O4="","",IF(O4&lt;0,"Overdue",IF(O4=0,"Due today",IF(O4&lt;=2,"Due soon","On track"))))</f>
        <v>On track</v>
      </c>
      <c r="Q4" s="26"/>
    </row>
    <row r="5" customFormat="false" ht="15" hidden="false" customHeight="false" outlineLevel="0" collapsed="false">
      <c r="A5" s="14" t="s">
        <v>57</v>
      </c>
      <c r="B5" s="15" t="n">
        <v>46272</v>
      </c>
      <c r="C5" s="16" t="s">
        <v>58</v>
      </c>
      <c r="D5" s="16" t="s">
        <v>27</v>
      </c>
      <c r="E5" s="16" t="s">
        <v>59</v>
      </c>
      <c r="F5" s="16" t="s">
        <v>19</v>
      </c>
      <c r="G5" s="16" t="s">
        <v>60</v>
      </c>
      <c r="H5" s="17" t="n">
        <v>5000000</v>
      </c>
      <c r="I5" s="15" t="n">
        <v>46273</v>
      </c>
      <c r="J5" s="16" t="s">
        <v>61</v>
      </c>
      <c r="K5" s="16" t="s">
        <v>62</v>
      </c>
      <c r="L5" s="16" t="s">
        <v>22</v>
      </c>
      <c r="M5" s="16" t="s">
        <v>63</v>
      </c>
      <c r="N5" s="15" t="n">
        <v>46304</v>
      </c>
      <c r="O5" s="18" t="n">
        <f aca="false">IF(OR(N5="",L5="Closed",L5="Dropped"),"",N5-Dashboard!$C$4)</f>
        <v>-4</v>
      </c>
      <c r="P5" s="19" t="str">
        <f aca="false">IF(O5="","",IF(O5&lt;0,"Overdue",IF(O5=0,"Due today",IF(O5&lt;=2,"Due soon","On track"))))</f>
        <v>Overdue</v>
      </c>
      <c r="Q5" s="10"/>
    </row>
    <row r="6" customFormat="false" ht="15" hidden="false" customHeight="false" outlineLevel="0" collapsed="false">
      <c r="A6" s="20" t="s">
        <v>64</v>
      </c>
      <c r="B6" s="21" t="n">
        <v>46272</v>
      </c>
      <c r="C6" s="22" t="s">
        <v>65</v>
      </c>
      <c r="D6" s="22" t="s">
        <v>26</v>
      </c>
      <c r="E6" s="22" t="s">
        <v>66</v>
      </c>
      <c r="F6" s="22" t="s">
        <v>23</v>
      </c>
      <c r="G6" s="22" t="s">
        <v>67</v>
      </c>
      <c r="H6" s="23" t="n">
        <v>3200000</v>
      </c>
      <c r="I6" s="21" t="n">
        <v>46273</v>
      </c>
      <c r="J6" s="22" t="s">
        <v>68</v>
      </c>
      <c r="K6" s="22" t="s">
        <v>69</v>
      </c>
      <c r="L6" s="22" t="s">
        <v>18</v>
      </c>
      <c r="M6" s="22" t="s">
        <v>70</v>
      </c>
      <c r="N6" s="21" t="n">
        <v>46316</v>
      </c>
      <c r="O6" s="24" t="n">
        <f aca="false">IF(OR(N6="",L6="Closed",L6="Dropped"),"",N6-Dashboard!$C$4)</f>
        <v>8</v>
      </c>
      <c r="P6" s="25" t="str">
        <f aca="false">IF(O6="","",IF(O6&lt;0,"Overdue",IF(O6=0,"Due today",IF(O6&lt;=2,"Due soon","On track"))))</f>
        <v>On track</v>
      </c>
      <c r="Q6" s="26"/>
    </row>
    <row r="7" customFormat="false" ht="15" hidden="false" customHeight="false" outlineLevel="0" collapsed="false">
      <c r="A7" s="14" t="s">
        <v>71</v>
      </c>
      <c r="B7" s="15" t="n">
        <v>46272</v>
      </c>
      <c r="C7" s="16" t="s">
        <v>72</v>
      </c>
      <c r="D7" s="16" t="s">
        <v>26</v>
      </c>
      <c r="E7" s="16" t="s">
        <v>73</v>
      </c>
      <c r="F7" s="16" t="s">
        <v>23</v>
      </c>
      <c r="G7" s="16" t="s">
        <v>74</v>
      </c>
      <c r="H7" s="17" t="n">
        <v>2500000</v>
      </c>
      <c r="I7" s="15" t="n">
        <v>46273</v>
      </c>
      <c r="J7" s="16" t="s">
        <v>68</v>
      </c>
      <c r="K7" s="16" t="s">
        <v>69</v>
      </c>
      <c r="L7" s="16" t="s">
        <v>22</v>
      </c>
      <c r="M7" s="16" t="s">
        <v>63</v>
      </c>
      <c r="N7" s="15" t="n">
        <v>46320</v>
      </c>
      <c r="O7" s="18" t="n">
        <f aca="false">IF(OR(N7="",L7="Closed",L7="Dropped"),"",N7-Dashboard!$C$4)</f>
        <v>12</v>
      </c>
      <c r="P7" s="19" t="str">
        <f aca="false">IF(O7="","",IF(O7&lt;0,"Overdue",IF(O7=0,"Due today",IF(O7&lt;=2,"Due soon","On track"))))</f>
        <v>On track</v>
      </c>
      <c r="Q7" s="10" t="s">
        <v>75</v>
      </c>
    </row>
    <row r="8" customFormat="false" ht="15" hidden="false" customHeight="false" outlineLevel="0" collapsed="false">
      <c r="A8" s="20" t="s">
        <v>76</v>
      </c>
      <c r="B8" s="21" t="n">
        <v>46274</v>
      </c>
      <c r="C8" s="22" t="s">
        <v>77</v>
      </c>
      <c r="D8" s="22" t="s">
        <v>27</v>
      </c>
      <c r="E8" s="22" t="s">
        <v>78</v>
      </c>
      <c r="F8" s="22" t="s">
        <v>21</v>
      </c>
      <c r="G8" s="22" t="s">
        <v>79</v>
      </c>
      <c r="H8" s="23" t="n">
        <v>1500000</v>
      </c>
      <c r="I8" s="21" t="n">
        <v>46277</v>
      </c>
      <c r="J8" s="22" t="s">
        <v>61</v>
      </c>
      <c r="K8" s="22" t="s">
        <v>69</v>
      </c>
      <c r="L8" s="22" t="s">
        <v>18</v>
      </c>
      <c r="M8" s="22" t="s">
        <v>70</v>
      </c>
      <c r="N8" s="21" t="n">
        <v>46316</v>
      </c>
      <c r="O8" s="24" t="n">
        <f aca="false">IF(OR(N8="",L8="Closed",L8="Dropped"),"",N8-Dashboard!$C$4)</f>
        <v>8</v>
      </c>
      <c r="P8" s="25" t="str">
        <f aca="false">IF(O8="","",IF(O8&lt;0,"Overdue",IF(O8=0,"Due today",IF(O8&lt;=2,"Due soon","On track"))))</f>
        <v>On track</v>
      </c>
      <c r="Q8" s="26"/>
    </row>
    <row r="9" customFormat="false" ht="15" hidden="false" customHeight="false" outlineLevel="0" collapsed="false">
      <c r="A9" s="14" t="s">
        <v>80</v>
      </c>
      <c r="B9" s="15" t="n">
        <v>46277</v>
      </c>
      <c r="C9" s="16" t="s">
        <v>81</v>
      </c>
      <c r="D9" s="16" t="s">
        <v>26</v>
      </c>
      <c r="E9" s="16" t="s">
        <v>82</v>
      </c>
      <c r="F9" s="16" t="s">
        <v>19</v>
      </c>
      <c r="G9" s="16" t="s">
        <v>67</v>
      </c>
      <c r="H9" s="17" t="n">
        <v>4500000</v>
      </c>
      <c r="I9" s="15" t="n">
        <v>46280</v>
      </c>
      <c r="J9" s="16" t="s">
        <v>68</v>
      </c>
      <c r="K9" s="16" t="s">
        <v>48</v>
      </c>
      <c r="L9" s="16" t="s">
        <v>18</v>
      </c>
      <c r="M9" s="16" t="s">
        <v>70</v>
      </c>
      <c r="N9" s="15" t="n">
        <v>46309</v>
      </c>
      <c r="O9" s="18" t="n">
        <f aca="false">IF(OR(N9="",L9="Closed",L9="Dropped"),"",N9-Dashboard!$C$4)</f>
        <v>1</v>
      </c>
      <c r="P9" s="19" t="str">
        <f aca="false">IF(O9="","",IF(O9&lt;0,"Overdue",IF(O9=0,"Due today",IF(O9&lt;=2,"Due soon","On track"))))</f>
        <v>Due soon</v>
      </c>
      <c r="Q9" s="10"/>
    </row>
    <row r="10" customFormat="false" ht="15" hidden="false" customHeight="false" outlineLevel="0" collapsed="false">
      <c r="A10" s="20" t="s">
        <v>83</v>
      </c>
      <c r="B10" s="21" t="n">
        <v>46278</v>
      </c>
      <c r="C10" s="22" t="s">
        <v>84</v>
      </c>
      <c r="D10" s="22" t="s">
        <v>27</v>
      </c>
      <c r="E10" s="22" t="s">
        <v>85</v>
      </c>
      <c r="F10" s="22" t="s">
        <v>19</v>
      </c>
      <c r="G10" s="22" t="s">
        <v>86</v>
      </c>
      <c r="H10" s="23" t="n">
        <v>4000000</v>
      </c>
      <c r="I10" s="21" t="n">
        <v>46279</v>
      </c>
      <c r="J10" s="22" t="s">
        <v>68</v>
      </c>
      <c r="K10" s="22" t="s">
        <v>69</v>
      </c>
      <c r="L10" s="22" t="s">
        <v>22</v>
      </c>
      <c r="M10" s="22" t="s">
        <v>63</v>
      </c>
      <c r="N10" s="21" t="n">
        <v>46309</v>
      </c>
      <c r="O10" s="24" t="n">
        <f aca="false">IF(OR(N10="",L10="Closed",L10="Dropped"),"",N10-Dashboard!$C$4)</f>
        <v>1</v>
      </c>
      <c r="P10" s="25" t="str">
        <f aca="false">IF(O10="","",IF(O10&lt;0,"Overdue",IF(O10=0,"Due today",IF(O10&lt;=2,"Due soon","On track"))))</f>
        <v>Due soon</v>
      </c>
      <c r="Q10" s="26"/>
    </row>
    <row r="11" customFormat="false" ht="15" hidden="false" customHeight="false" outlineLevel="0" collapsed="false">
      <c r="A11" s="14" t="s">
        <v>87</v>
      </c>
      <c r="B11" s="15" t="n">
        <v>46279</v>
      </c>
      <c r="C11" s="16" t="s">
        <v>88</v>
      </c>
      <c r="D11" s="16" t="s">
        <v>26</v>
      </c>
      <c r="E11" s="16" t="s">
        <v>89</v>
      </c>
      <c r="F11" s="16" t="s">
        <v>19</v>
      </c>
      <c r="G11" s="16" t="s">
        <v>90</v>
      </c>
      <c r="H11" s="17" t="n">
        <v>4500000</v>
      </c>
      <c r="I11" s="15" t="n">
        <v>46280</v>
      </c>
      <c r="J11" s="16" t="s">
        <v>55</v>
      </c>
      <c r="K11" s="16" t="s">
        <v>48</v>
      </c>
      <c r="L11" s="16" t="s">
        <v>18</v>
      </c>
      <c r="M11" s="16" t="s">
        <v>70</v>
      </c>
      <c r="N11" s="15" t="n">
        <v>46315</v>
      </c>
      <c r="O11" s="18" t="n">
        <f aca="false">IF(OR(N11="",L11="Closed",L11="Dropped"),"",N11-Dashboard!$C$4)</f>
        <v>7</v>
      </c>
      <c r="P11" s="19" t="str">
        <f aca="false">IF(O11="","",IF(O11&lt;0,"Overdue",IF(O11=0,"Due today",IF(O11&lt;=2,"Due soon","On track"))))</f>
        <v>On track</v>
      </c>
      <c r="Q11" s="10"/>
    </row>
    <row r="12" customFormat="false" ht="15" hidden="false" customHeight="false" outlineLevel="0" collapsed="false">
      <c r="A12" s="20" t="s">
        <v>91</v>
      </c>
      <c r="B12" s="21" t="n">
        <v>46279</v>
      </c>
      <c r="C12" s="22" t="s">
        <v>92</v>
      </c>
      <c r="D12" s="22" t="s">
        <v>27</v>
      </c>
      <c r="E12" s="22" t="s">
        <v>93</v>
      </c>
      <c r="F12" s="22" t="s">
        <v>17</v>
      </c>
      <c r="G12" s="22" t="s">
        <v>94</v>
      </c>
      <c r="H12" s="23" t="n">
        <v>1500000</v>
      </c>
      <c r="I12" s="21"/>
      <c r="J12" s="22"/>
      <c r="K12" s="22" t="s">
        <v>62</v>
      </c>
      <c r="L12" s="22" t="s">
        <v>16</v>
      </c>
      <c r="M12" s="22" t="s">
        <v>49</v>
      </c>
      <c r="N12" s="21" t="n">
        <v>46313</v>
      </c>
      <c r="O12" s="24" t="n">
        <f aca="false">IF(OR(N12="",L12="Closed",L12="Dropped"),"",N12-Dashboard!$C$4)</f>
        <v>5</v>
      </c>
      <c r="P12" s="25" t="str">
        <f aca="false">IF(O12="","",IF(O12&lt;0,"Overdue",IF(O12=0,"Due today",IF(O12&lt;=2,"Due soon","On track"))))</f>
        <v>On track</v>
      </c>
      <c r="Q12" s="26" t="s">
        <v>95</v>
      </c>
    </row>
    <row r="13" customFormat="false" ht="15" hidden="false" customHeight="false" outlineLevel="0" collapsed="false">
      <c r="A13" s="14" t="s">
        <v>96</v>
      </c>
      <c r="B13" s="15" t="n">
        <v>46279</v>
      </c>
      <c r="C13" s="16" t="s">
        <v>97</v>
      </c>
      <c r="D13" s="16" t="s">
        <v>26</v>
      </c>
      <c r="E13" s="16" t="s">
        <v>98</v>
      </c>
      <c r="F13" s="16" t="s">
        <v>17</v>
      </c>
      <c r="G13" s="16" t="s">
        <v>74</v>
      </c>
      <c r="H13" s="17" t="n">
        <v>1800000</v>
      </c>
      <c r="I13" s="15" t="n">
        <v>46280</v>
      </c>
      <c r="J13" s="16" t="s">
        <v>61</v>
      </c>
      <c r="K13" s="16" t="s">
        <v>48</v>
      </c>
      <c r="L13" s="16" t="s">
        <v>22</v>
      </c>
      <c r="M13" s="16" t="s">
        <v>63</v>
      </c>
      <c r="N13" s="15" t="n">
        <v>46313</v>
      </c>
      <c r="O13" s="18" t="n">
        <f aca="false">IF(OR(N13="",L13="Closed",L13="Dropped"),"",N13-Dashboard!$C$4)</f>
        <v>5</v>
      </c>
      <c r="P13" s="19" t="str">
        <f aca="false">IF(O13="","",IF(O13&lt;0,"Overdue",IF(O13=0,"Due today",IF(O13&lt;=2,"Due soon","On track"))))</f>
        <v>On track</v>
      </c>
      <c r="Q13" s="10"/>
    </row>
    <row r="14" customFormat="false" ht="15" hidden="false" customHeight="false" outlineLevel="0" collapsed="false">
      <c r="A14" s="20" t="s">
        <v>99</v>
      </c>
      <c r="B14" s="21" t="n">
        <v>46281</v>
      </c>
      <c r="C14" s="22" t="s">
        <v>100</v>
      </c>
      <c r="D14" s="22" t="s">
        <v>26</v>
      </c>
      <c r="E14" s="22" t="s">
        <v>101</v>
      </c>
      <c r="F14" s="22" t="s">
        <v>17</v>
      </c>
      <c r="G14" s="22" t="s">
        <v>102</v>
      </c>
      <c r="H14" s="23" t="n">
        <v>1800000</v>
      </c>
      <c r="I14" s="21" t="n">
        <v>46282</v>
      </c>
      <c r="J14" s="22" t="s">
        <v>103</v>
      </c>
      <c r="K14" s="22" t="s">
        <v>48</v>
      </c>
      <c r="L14" s="22" t="s">
        <v>18</v>
      </c>
      <c r="M14" s="22" t="s">
        <v>70</v>
      </c>
      <c r="N14" s="21" t="n">
        <v>46304</v>
      </c>
      <c r="O14" s="24" t="n">
        <f aca="false">IF(OR(N14="",L14="Closed",L14="Dropped"),"",N14-Dashboard!$C$4)</f>
        <v>-4</v>
      </c>
      <c r="P14" s="25" t="str">
        <f aca="false">IF(O14="","",IF(O14&lt;0,"Overdue",IF(O14=0,"Due today",IF(O14&lt;=2,"Due soon","On track"))))</f>
        <v>Overdue</v>
      </c>
      <c r="Q14" s="26"/>
    </row>
    <row r="15" customFormat="false" ht="15" hidden="false" customHeight="false" outlineLevel="0" collapsed="false">
      <c r="A15" s="14" t="s">
        <v>104</v>
      </c>
      <c r="B15" s="15" t="n">
        <v>46281</v>
      </c>
      <c r="C15" s="16" t="s">
        <v>105</v>
      </c>
      <c r="D15" s="16" t="s">
        <v>27</v>
      </c>
      <c r="E15" s="16" t="s">
        <v>106</v>
      </c>
      <c r="F15" s="16" t="s">
        <v>19</v>
      </c>
      <c r="G15" s="16" t="s">
        <v>107</v>
      </c>
      <c r="H15" s="17" t="n">
        <v>5000000</v>
      </c>
      <c r="I15" s="15" t="n">
        <v>46282</v>
      </c>
      <c r="J15" s="16" t="s">
        <v>103</v>
      </c>
      <c r="K15" s="16" t="s">
        <v>62</v>
      </c>
      <c r="L15" s="16" t="s">
        <v>18</v>
      </c>
      <c r="M15" s="16" t="s">
        <v>70</v>
      </c>
      <c r="N15" s="15" t="n">
        <v>46306</v>
      </c>
      <c r="O15" s="18" t="n">
        <f aca="false">IF(OR(N15="",L15="Closed",L15="Dropped"),"",N15-Dashboard!$C$4)</f>
        <v>-2</v>
      </c>
      <c r="P15" s="19" t="str">
        <f aca="false">IF(O15="","",IF(O15&lt;0,"Overdue",IF(O15=0,"Due today",IF(O15&lt;=2,"Due soon","On track"))))</f>
        <v>Overdue</v>
      </c>
      <c r="Q15" s="10"/>
    </row>
    <row r="16" customFormat="false" ht="15" hidden="false" customHeight="false" outlineLevel="0" collapsed="false">
      <c r="A16" s="20" t="s">
        <v>108</v>
      </c>
      <c r="B16" s="21" t="n">
        <v>46285</v>
      </c>
      <c r="C16" s="22" t="s">
        <v>109</v>
      </c>
      <c r="D16" s="22" t="s">
        <v>27</v>
      </c>
      <c r="E16" s="22" t="s">
        <v>110</v>
      </c>
      <c r="F16" s="22" t="s">
        <v>21</v>
      </c>
      <c r="G16" s="22" t="s">
        <v>107</v>
      </c>
      <c r="H16" s="23" t="n">
        <v>4000000</v>
      </c>
      <c r="I16" s="21" t="n">
        <v>46288</v>
      </c>
      <c r="J16" s="22" t="s">
        <v>55</v>
      </c>
      <c r="K16" s="22" t="s">
        <v>69</v>
      </c>
      <c r="L16" s="22" t="s">
        <v>18</v>
      </c>
      <c r="M16" s="22" t="s">
        <v>70</v>
      </c>
      <c r="N16" s="21" t="n">
        <v>46315</v>
      </c>
      <c r="O16" s="24" t="n">
        <f aca="false">IF(OR(N16="",L16="Closed",L16="Dropped"),"",N16-Dashboard!$C$4)</f>
        <v>7</v>
      </c>
      <c r="P16" s="25" t="str">
        <f aca="false">IF(O16="","",IF(O16&lt;0,"Overdue",IF(O16=0,"Due today",IF(O16&lt;=2,"Due soon","On track"))))</f>
        <v>On track</v>
      </c>
      <c r="Q16" s="26"/>
    </row>
    <row r="17" customFormat="false" ht="15" hidden="false" customHeight="false" outlineLevel="0" collapsed="false">
      <c r="A17" s="14" t="s">
        <v>111</v>
      </c>
      <c r="B17" s="15" t="n">
        <v>46288</v>
      </c>
      <c r="C17" s="16" t="s">
        <v>112</v>
      </c>
      <c r="D17" s="16" t="s">
        <v>26</v>
      </c>
      <c r="E17" s="16" t="s">
        <v>113</v>
      </c>
      <c r="F17" s="16" t="s">
        <v>21</v>
      </c>
      <c r="G17" s="16" t="s">
        <v>67</v>
      </c>
      <c r="H17" s="17" t="n">
        <v>6000000</v>
      </c>
      <c r="I17" s="15"/>
      <c r="J17" s="16"/>
      <c r="K17" s="16" t="s">
        <v>69</v>
      </c>
      <c r="L17" s="16" t="s">
        <v>16</v>
      </c>
      <c r="M17" s="16" t="s">
        <v>49</v>
      </c>
      <c r="N17" s="15" t="n">
        <v>46315</v>
      </c>
      <c r="O17" s="18" t="n">
        <f aca="false">IF(OR(N17="",L17="Closed",L17="Dropped"),"",N17-Dashboard!$C$4)</f>
        <v>7</v>
      </c>
      <c r="P17" s="19" t="str">
        <f aca="false">IF(O17="","",IF(O17&lt;0,"Overdue",IF(O17=0,"Due today",IF(O17&lt;=2,"Due soon","On track"))))</f>
        <v>On track</v>
      </c>
      <c r="Q17" s="10"/>
    </row>
    <row r="18" customFormat="false" ht="15" hidden="false" customHeight="false" outlineLevel="0" collapsed="false">
      <c r="A18" s="20" t="s">
        <v>114</v>
      </c>
      <c r="B18" s="21" t="n">
        <v>46289</v>
      </c>
      <c r="C18" s="22" t="s">
        <v>115</v>
      </c>
      <c r="D18" s="22" t="s">
        <v>26</v>
      </c>
      <c r="E18" s="22" t="s">
        <v>116</v>
      </c>
      <c r="F18" s="22" t="s">
        <v>21</v>
      </c>
      <c r="G18" s="22" t="s">
        <v>47</v>
      </c>
      <c r="H18" s="23" t="n">
        <v>7500000</v>
      </c>
      <c r="I18" s="21" t="n">
        <v>46291</v>
      </c>
      <c r="J18" s="22" t="s">
        <v>61</v>
      </c>
      <c r="K18" s="22" t="s">
        <v>62</v>
      </c>
      <c r="L18" s="22" t="s">
        <v>18</v>
      </c>
      <c r="M18" s="22" t="s">
        <v>70</v>
      </c>
      <c r="N18" s="21" t="n">
        <v>46320</v>
      </c>
      <c r="O18" s="24" t="n">
        <f aca="false">IF(OR(N18="",L18="Closed",L18="Dropped"),"",N18-Dashboard!$C$4)</f>
        <v>12</v>
      </c>
      <c r="P18" s="25" t="str">
        <f aca="false">IF(O18="","",IF(O18&lt;0,"Overdue",IF(O18=0,"Due today",IF(O18&lt;=2,"Due soon","On track"))))</f>
        <v>On track</v>
      </c>
      <c r="Q18" s="26"/>
    </row>
    <row r="19" customFormat="false" ht="15" hidden="false" customHeight="false" outlineLevel="0" collapsed="false">
      <c r="A19" s="14" t="s">
        <v>117</v>
      </c>
      <c r="B19" s="15" t="n">
        <v>46290</v>
      </c>
      <c r="C19" s="16" t="s">
        <v>118</v>
      </c>
      <c r="D19" s="16" t="s">
        <v>27</v>
      </c>
      <c r="E19" s="16" t="s">
        <v>119</v>
      </c>
      <c r="F19" s="16" t="s">
        <v>19</v>
      </c>
      <c r="G19" s="16" t="s">
        <v>120</v>
      </c>
      <c r="H19" s="17" t="n">
        <v>2200000</v>
      </c>
      <c r="I19" s="15" t="n">
        <v>46293</v>
      </c>
      <c r="J19" s="16" t="s">
        <v>68</v>
      </c>
      <c r="K19" s="16" t="s">
        <v>62</v>
      </c>
      <c r="L19" s="16" t="s">
        <v>18</v>
      </c>
      <c r="M19" s="16" t="s">
        <v>70</v>
      </c>
      <c r="N19" s="15" t="n">
        <v>46309</v>
      </c>
      <c r="O19" s="18" t="n">
        <f aca="false">IF(OR(N19="",L19="Closed",L19="Dropped"),"",N19-Dashboard!$C$4)</f>
        <v>1</v>
      </c>
      <c r="P19" s="19" t="str">
        <f aca="false">IF(O19="","",IF(O19&lt;0,"Overdue",IF(O19=0,"Due today",IF(O19&lt;=2,"Due soon","On track"))))</f>
        <v>Due soon</v>
      </c>
      <c r="Q19" s="10"/>
    </row>
    <row r="20" customFormat="false" ht="15" hidden="false" customHeight="false" outlineLevel="0" collapsed="false">
      <c r="A20" s="20" t="s">
        <v>121</v>
      </c>
      <c r="B20" s="21" t="n">
        <v>46290</v>
      </c>
      <c r="C20" s="22" t="s">
        <v>122</v>
      </c>
      <c r="D20" s="22" t="s">
        <v>26</v>
      </c>
      <c r="E20" s="22" t="s">
        <v>123</v>
      </c>
      <c r="F20" s="22" t="s">
        <v>17</v>
      </c>
      <c r="G20" s="22" t="s">
        <v>124</v>
      </c>
      <c r="H20" s="23" t="n">
        <v>4500000</v>
      </c>
      <c r="I20" s="21" t="n">
        <v>46291</v>
      </c>
      <c r="J20" s="22" t="s">
        <v>103</v>
      </c>
      <c r="K20" s="22" t="s">
        <v>62</v>
      </c>
      <c r="L20" s="22" t="s">
        <v>18</v>
      </c>
      <c r="M20" s="22" t="s">
        <v>70</v>
      </c>
      <c r="N20" s="21" t="n">
        <v>46320</v>
      </c>
      <c r="O20" s="24" t="n">
        <f aca="false">IF(OR(N20="",L20="Closed",L20="Dropped"),"",N20-Dashboard!$C$4)</f>
        <v>12</v>
      </c>
      <c r="P20" s="25" t="str">
        <f aca="false">IF(O20="","",IF(O20&lt;0,"Overdue",IF(O20=0,"Due today",IF(O20&lt;=2,"Due soon","On track"))))</f>
        <v>On track</v>
      </c>
      <c r="Q20" s="26" t="s">
        <v>125</v>
      </c>
    </row>
    <row r="21" customFormat="false" ht="15" hidden="false" customHeight="false" outlineLevel="0" collapsed="false">
      <c r="A21" s="14" t="s">
        <v>126</v>
      </c>
      <c r="B21" s="15" t="n">
        <v>46294</v>
      </c>
      <c r="C21" s="16" t="s">
        <v>127</v>
      </c>
      <c r="D21" s="16" t="s">
        <v>27</v>
      </c>
      <c r="E21" s="16" t="s">
        <v>128</v>
      </c>
      <c r="F21" s="16" t="s">
        <v>23</v>
      </c>
      <c r="G21" s="16" t="s">
        <v>129</v>
      </c>
      <c r="H21" s="17" t="n">
        <v>5000000</v>
      </c>
      <c r="I21" s="15" t="n">
        <v>46297</v>
      </c>
      <c r="J21" s="16" t="s">
        <v>61</v>
      </c>
      <c r="K21" s="16"/>
      <c r="L21" s="16" t="s">
        <v>7</v>
      </c>
      <c r="M21" s="16"/>
      <c r="N21" s="15"/>
      <c r="O21" s="18" t="str">
        <f aca="false">IF(OR(N21="",L21="Closed",L21="Dropped"),"",N21-Dashboard!$C$4)</f>
        <v/>
      </c>
      <c r="P21" s="19" t="str">
        <f aca="false">IF(O21="","",IF(O21&lt;0,"Overdue",IF(O21=0,"Due today",IF(O21&lt;=2,"Due soon","On track"))))</f>
        <v/>
      </c>
      <c r="Q21" s="10"/>
    </row>
    <row r="22" customFormat="false" ht="15" hidden="false" customHeight="false" outlineLevel="0" collapsed="false">
      <c r="A22" s="20" t="s">
        <v>130</v>
      </c>
      <c r="B22" s="21" t="n">
        <v>46297</v>
      </c>
      <c r="C22" s="22" t="s">
        <v>131</v>
      </c>
      <c r="D22" s="22" t="s">
        <v>26</v>
      </c>
      <c r="E22" s="22" t="s">
        <v>132</v>
      </c>
      <c r="F22" s="22" t="s">
        <v>19</v>
      </c>
      <c r="G22" s="22" t="s">
        <v>133</v>
      </c>
      <c r="H22" s="23" t="n">
        <v>3200000</v>
      </c>
      <c r="I22" s="21" t="n">
        <v>46300</v>
      </c>
      <c r="J22" s="22" t="s">
        <v>55</v>
      </c>
      <c r="K22" s="22" t="s">
        <v>48</v>
      </c>
      <c r="L22" s="22" t="s">
        <v>18</v>
      </c>
      <c r="M22" s="22" t="s">
        <v>70</v>
      </c>
      <c r="N22" s="21" t="n">
        <v>46313</v>
      </c>
      <c r="O22" s="24" t="n">
        <f aca="false">IF(OR(N22="",L22="Closed",L22="Dropped"),"",N22-Dashboard!$C$4)</f>
        <v>5</v>
      </c>
      <c r="P22" s="25" t="str">
        <f aca="false">IF(O22="","",IF(O22&lt;0,"Overdue",IF(O22=0,"Due today",IF(O22&lt;=2,"Due soon","On track"))))</f>
        <v>On track</v>
      </c>
      <c r="Q22" s="26"/>
    </row>
    <row r="23" customFormat="false" ht="15" hidden="false" customHeight="false" outlineLevel="0" collapsed="false">
      <c r="A23" s="14" t="s">
        <v>134</v>
      </c>
      <c r="B23" s="15" t="n">
        <v>46298</v>
      </c>
      <c r="C23" s="16" t="s">
        <v>135</v>
      </c>
      <c r="D23" s="16" t="s">
        <v>27</v>
      </c>
      <c r="E23" s="16" t="s">
        <v>136</v>
      </c>
      <c r="F23" s="16" t="s">
        <v>17</v>
      </c>
      <c r="G23" s="16" t="s">
        <v>137</v>
      </c>
      <c r="H23" s="17" t="n">
        <v>3000000</v>
      </c>
      <c r="I23" s="15" t="n">
        <v>46299</v>
      </c>
      <c r="J23" s="16" t="s">
        <v>55</v>
      </c>
      <c r="K23" s="16" t="s">
        <v>48</v>
      </c>
      <c r="L23" s="16" t="s">
        <v>18</v>
      </c>
      <c r="M23" s="16" t="s">
        <v>70</v>
      </c>
      <c r="N23" s="15" t="n">
        <v>46309</v>
      </c>
      <c r="O23" s="18" t="n">
        <f aca="false">IF(OR(N23="",L23="Closed",L23="Dropped"),"",N23-Dashboard!$C$4)</f>
        <v>1</v>
      </c>
      <c r="P23" s="19" t="str">
        <f aca="false">IF(O23="","",IF(O23&lt;0,"Overdue",IF(O23=0,"Due today",IF(O23&lt;=2,"Due soon","On track"))))</f>
        <v>Due soon</v>
      </c>
      <c r="Q23" s="10"/>
    </row>
    <row r="24" customFormat="false" ht="15" hidden="false" customHeight="false" outlineLevel="0" collapsed="false">
      <c r="A24" s="20" t="s">
        <v>138</v>
      </c>
      <c r="B24" s="21" t="n">
        <v>46299</v>
      </c>
      <c r="C24" s="22" t="s">
        <v>139</v>
      </c>
      <c r="D24" s="22" t="s">
        <v>27</v>
      </c>
      <c r="E24" s="22" t="s">
        <v>140</v>
      </c>
      <c r="F24" s="22" t="s">
        <v>19</v>
      </c>
      <c r="G24" s="22" t="s">
        <v>60</v>
      </c>
      <c r="H24" s="23" t="n">
        <v>1500000</v>
      </c>
      <c r="I24" s="21" t="n">
        <v>46300</v>
      </c>
      <c r="J24" s="22" t="s">
        <v>61</v>
      </c>
      <c r="K24" s="22" t="s">
        <v>69</v>
      </c>
      <c r="L24" s="22" t="s">
        <v>18</v>
      </c>
      <c r="M24" s="22" t="s">
        <v>70</v>
      </c>
      <c r="N24" s="21" t="n">
        <v>46314</v>
      </c>
      <c r="O24" s="24" t="n">
        <f aca="false">IF(OR(N24="",L24="Closed",L24="Dropped"),"",N24-Dashboard!$C$4)</f>
        <v>6</v>
      </c>
      <c r="P24" s="25" t="str">
        <f aca="false">IF(O24="","",IF(O24&lt;0,"Overdue",IF(O24=0,"Due today",IF(O24&lt;=2,"Due soon","On track"))))</f>
        <v>On track</v>
      </c>
      <c r="Q24" s="26"/>
    </row>
    <row r="25" customFormat="false" ht="15" hidden="false" customHeight="false" outlineLevel="0" collapsed="false">
      <c r="A25" s="14" t="s">
        <v>141</v>
      </c>
      <c r="B25" s="15" t="n">
        <v>46300</v>
      </c>
      <c r="C25" s="16" t="s">
        <v>142</v>
      </c>
      <c r="D25" s="16" t="s">
        <v>26</v>
      </c>
      <c r="E25" s="16" t="s">
        <v>143</v>
      </c>
      <c r="F25" s="16" t="s">
        <v>21</v>
      </c>
      <c r="G25" s="16" t="s">
        <v>124</v>
      </c>
      <c r="H25" s="17" t="n">
        <v>3200000</v>
      </c>
      <c r="I25" s="15" t="n">
        <v>46302</v>
      </c>
      <c r="J25" s="16" t="s">
        <v>68</v>
      </c>
      <c r="K25" s="16" t="s">
        <v>69</v>
      </c>
      <c r="L25" s="16" t="s">
        <v>20</v>
      </c>
      <c r="M25" s="16" t="s">
        <v>56</v>
      </c>
      <c r="N25" s="15" t="n">
        <v>46308</v>
      </c>
      <c r="O25" s="18" t="n">
        <f aca="false">IF(OR(N25="",L25="Closed",L25="Dropped"),"",N25-Dashboard!$C$4)</f>
        <v>0</v>
      </c>
      <c r="P25" s="19" t="str">
        <f aca="false">IF(O25="","",IF(O25&lt;0,"Overdue",IF(O25=0,"Due today",IF(O25&lt;=2,"Due soon","On track"))))</f>
        <v>Due today</v>
      </c>
      <c r="Q25" s="10"/>
    </row>
    <row r="26" customFormat="false" ht="15" hidden="false" customHeight="false" outlineLevel="0" collapsed="false">
      <c r="A26" s="20" t="s">
        <v>144</v>
      </c>
      <c r="B26" s="21" t="n">
        <v>46300</v>
      </c>
      <c r="C26" s="22" t="s">
        <v>145</v>
      </c>
      <c r="D26" s="22" t="s">
        <v>27</v>
      </c>
      <c r="E26" s="22" t="s">
        <v>146</v>
      </c>
      <c r="F26" s="22" t="s">
        <v>23</v>
      </c>
      <c r="G26" s="22" t="s">
        <v>54</v>
      </c>
      <c r="H26" s="23" t="n">
        <v>1500000</v>
      </c>
      <c r="I26" s="21" t="n">
        <v>46303</v>
      </c>
      <c r="J26" s="22" t="s">
        <v>61</v>
      </c>
      <c r="K26" s="22" t="s">
        <v>69</v>
      </c>
      <c r="L26" s="22" t="s">
        <v>20</v>
      </c>
      <c r="M26" s="22" t="s">
        <v>56</v>
      </c>
      <c r="N26" s="21" t="n">
        <v>46306</v>
      </c>
      <c r="O26" s="24" t="n">
        <f aca="false">IF(OR(N26="",L26="Closed",L26="Dropped"),"",N26-Dashboard!$C$4)</f>
        <v>-2</v>
      </c>
      <c r="P26" s="25" t="str">
        <f aca="false">IF(O26="","",IF(O26&lt;0,"Overdue",IF(O26=0,"Due today",IF(O26&lt;=2,"Due soon","On track"))))</f>
        <v>Overdue</v>
      </c>
      <c r="Q26" s="26"/>
    </row>
    <row r="27" customFormat="false" ht="15" hidden="false" customHeight="false" outlineLevel="0" collapsed="false">
      <c r="A27" s="14" t="s">
        <v>147</v>
      </c>
      <c r="B27" s="15" t="n">
        <v>46301</v>
      </c>
      <c r="C27" s="16" t="s">
        <v>148</v>
      </c>
      <c r="D27" s="16" t="s">
        <v>27</v>
      </c>
      <c r="E27" s="16" t="s">
        <v>149</v>
      </c>
      <c r="F27" s="16" t="s">
        <v>17</v>
      </c>
      <c r="G27" s="16" t="s">
        <v>150</v>
      </c>
      <c r="H27" s="17" t="n">
        <v>5000000</v>
      </c>
      <c r="I27" s="15" t="n">
        <v>46302</v>
      </c>
      <c r="J27" s="16" t="s">
        <v>68</v>
      </c>
      <c r="K27" s="16" t="s">
        <v>69</v>
      </c>
      <c r="L27" s="16" t="s">
        <v>20</v>
      </c>
      <c r="M27" s="16" t="s">
        <v>56</v>
      </c>
      <c r="N27" s="15" t="n">
        <v>46309</v>
      </c>
      <c r="O27" s="18" t="n">
        <f aca="false">IF(OR(N27="",L27="Closed",L27="Dropped"),"",N27-Dashboard!$C$4)</f>
        <v>1</v>
      </c>
      <c r="P27" s="19" t="str">
        <f aca="false">IF(O27="","",IF(O27&lt;0,"Overdue",IF(O27=0,"Due today",IF(O27&lt;=2,"Due soon","On track"))))</f>
        <v>Due soon</v>
      </c>
      <c r="Q27" s="10"/>
    </row>
    <row r="28" customFormat="false" ht="15" hidden="false" customHeight="false" outlineLevel="0" collapsed="false">
      <c r="A28" s="20" t="s">
        <v>151</v>
      </c>
      <c r="B28" s="21" t="n">
        <v>46301</v>
      </c>
      <c r="C28" s="22" t="s">
        <v>152</v>
      </c>
      <c r="D28" s="22" t="s">
        <v>27</v>
      </c>
      <c r="E28" s="22" t="s">
        <v>153</v>
      </c>
      <c r="F28" s="22" t="s">
        <v>17</v>
      </c>
      <c r="G28" s="22" t="s">
        <v>154</v>
      </c>
      <c r="H28" s="23" t="n">
        <v>3000000</v>
      </c>
      <c r="I28" s="21" t="n">
        <v>46303</v>
      </c>
      <c r="J28" s="22" t="s">
        <v>61</v>
      </c>
      <c r="K28" s="22" t="s">
        <v>69</v>
      </c>
      <c r="L28" s="22" t="s">
        <v>18</v>
      </c>
      <c r="M28" s="22" t="s">
        <v>70</v>
      </c>
      <c r="N28" s="21" t="n">
        <v>46314</v>
      </c>
      <c r="O28" s="24" t="n">
        <f aca="false">IF(OR(N28="",L28="Closed",L28="Dropped"),"",N28-Dashboard!$C$4)</f>
        <v>6</v>
      </c>
      <c r="P28" s="25" t="str">
        <f aca="false">IF(O28="","",IF(O28&lt;0,"Overdue",IF(O28=0,"Due today",IF(O28&lt;=2,"Due soon","On track"))))</f>
        <v>On track</v>
      </c>
      <c r="Q28" s="26"/>
    </row>
    <row r="29" customFormat="false" ht="15" hidden="false" customHeight="false" outlineLevel="0" collapsed="false">
      <c r="A29" s="14" t="s">
        <v>155</v>
      </c>
      <c r="B29" s="15" t="n">
        <v>46301</v>
      </c>
      <c r="C29" s="16" t="s">
        <v>156</v>
      </c>
      <c r="D29" s="16" t="s">
        <v>27</v>
      </c>
      <c r="E29" s="16" t="s">
        <v>157</v>
      </c>
      <c r="F29" s="16" t="s">
        <v>23</v>
      </c>
      <c r="G29" s="16" t="s">
        <v>94</v>
      </c>
      <c r="H29" s="17" t="n">
        <v>2200000</v>
      </c>
      <c r="I29" s="15" t="n">
        <v>46303</v>
      </c>
      <c r="J29" s="16" t="s">
        <v>61</v>
      </c>
      <c r="K29" s="16" t="s">
        <v>62</v>
      </c>
      <c r="L29" s="16" t="s">
        <v>20</v>
      </c>
      <c r="M29" s="16" t="s">
        <v>56</v>
      </c>
      <c r="N29" s="15" t="n">
        <v>46308</v>
      </c>
      <c r="O29" s="18" t="n">
        <f aca="false">IF(OR(N29="",L29="Closed",L29="Dropped"),"",N29-Dashboard!$C$4)</f>
        <v>0</v>
      </c>
      <c r="P29" s="19" t="str">
        <f aca="false">IF(O29="","",IF(O29&lt;0,"Overdue",IF(O29=0,"Due today",IF(O29&lt;=2,"Due soon","On track"))))</f>
        <v>Due today</v>
      </c>
      <c r="Q29" s="10"/>
    </row>
    <row r="30" customFormat="false" ht="15" hidden="false" customHeight="false" outlineLevel="0" collapsed="false">
      <c r="A30" s="20" t="s">
        <v>158</v>
      </c>
      <c r="B30" s="21" t="n">
        <v>46303</v>
      </c>
      <c r="C30" s="22" t="s">
        <v>159</v>
      </c>
      <c r="D30" s="22" t="s">
        <v>26</v>
      </c>
      <c r="E30" s="22" t="s">
        <v>160</v>
      </c>
      <c r="F30" s="22" t="s">
        <v>19</v>
      </c>
      <c r="G30" s="22" t="s">
        <v>90</v>
      </c>
      <c r="H30" s="23" t="n">
        <v>4500000</v>
      </c>
      <c r="I30" s="21" t="n">
        <v>46304</v>
      </c>
      <c r="J30" s="22" t="s">
        <v>68</v>
      </c>
      <c r="K30" s="22"/>
      <c r="L30" s="22" t="s">
        <v>24</v>
      </c>
      <c r="M30" s="22"/>
      <c r="N30" s="21"/>
      <c r="O30" s="24" t="str">
        <f aca="false">IF(OR(N30="",L30="Closed",L30="Dropped"),"",N30-Dashboard!$C$4)</f>
        <v/>
      </c>
      <c r="P30" s="25" t="str">
        <f aca="false">IF(O30="","",IF(O30&lt;0,"Overdue",IF(O30=0,"Due today",IF(O30&lt;=2,"Due soon","On track"))))</f>
        <v/>
      </c>
      <c r="Q30" s="26"/>
    </row>
    <row r="31" customFormat="false" ht="15" hidden="false" customHeight="false" outlineLevel="0" collapsed="false">
      <c r="A31" s="14" t="s">
        <v>161</v>
      </c>
      <c r="B31" s="15" t="n">
        <v>46303</v>
      </c>
      <c r="C31" s="16" t="s">
        <v>162</v>
      </c>
      <c r="D31" s="16" t="s">
        <v>26</v>
      </c>
      <c r="E31" s="16" t="s">
        <v>163</v>
      </c>
      <c r="F31" s="16" t="s">
        <v>17</v>
      </c>
      <c r="G31" s="16" t="s">
        <v>164</v>
      </c>
      <c r="H31" s="17" t="n">
        <v>4500000</v>
      </c>
      <c r="I31" s="15" t="n">
        <v>46304</v>
      </c>
      <c r="J31" s="16" t="s">
        <v>55</v>
      </c>
      <c r="K31" s="16"/>
      <c r="L31" s="16" t="s">
        <v>24</v>
      </c>
      <c r="M31" s="16"/>
      <c r="N31" s="15"/>
      <c r="O31" s="18" t="str">
        <f aca="false">IF(OR(N31="",L31="Closed",L31="Dropped"),"",N31-Dashboard!$C$4)</f>
        <v/>
      </c>
      <c r="P31" s="19" t="str">
        <f aca="false">IF(O31="","",IF(O31&lt;0,"Overdue",IF(O31=0,"Due today",IF(O31&lt;=2,"Due soon","On track"))))</f>
        <v/>
      </c>
      <c r="Q31" s="10"/>
    </row>
    <row r="32" customFormat="false" ht="15" hidden="false" customHeight="false" outlineLevel="0" collapsed="false">
      <c r="A32" s="20" t="s">
        <v>165</v>
      </c>
      <c r="B32" s="21" t="n">
        <v>46305</v>
      </c>
      <c r="C32" s="22" t="s">
        <v>166</v>
      </c>
      <c r="D32" s="22" t="s">
        <v>27</v>
      </c>
      <c r="E32" s="22" t="s">
        <v>167</v>
      </c>
      <c r="F32" s="22" t="s">
        <v>21</v>
      </c>
      <c r="G32" s="22" t="s">
        <v>168</v>
      </c>
      <c r="H32" s="23" t="n">
        <v>4000000</v>
      </c>
      <c r="I32" s="21" t="n">
        <v>46307</v>
      </c>
      <c r="J32" s="22" t="s">
        <v>68</v>
      </c>
      <c r="K32" s="22" t="s">
        <v>48</v>
      </c>
      <c r="L32" s="22" t="s">
        <v>18</v>
      </c>
      <c r="M32" s="22" t="s">
        <v>70</v>
      </c>
      <c r="N32" s="21" t="n">
        <v>46320</v>
      </c>
      <c r="O32" s="24" t="n">
        <f aca="false">IF(OR(N32="",L32="Closed",L32="Dropped"),"",N32-Dashboard!$C$4)</f>
        <v>12</v>
      </c>
      <c r="P32" s="25" t="str">
        <f aca="false">IF(O32="","",IF(O32&lt;0,"Overdue",IF(O32=0,"Due today",IF(O32&lt;=2,"Due soon","On track"))))</f>
        <v>On track</v>
      </c>
      <c r="Q32" s="26"/>
    </row>
  </sheetData>
  <autoFilter ref="A2:Q32"/>
  <mergeCells count="1">
    <mergeCell ref="A1:Q1"/>
  </mergeCells>
  <conditionalFormatting sqref="P3:P92">
    <cfRule type="cellIs" priority="2" operator="equal" aboveAverage="0" equalAverage="0" bottom="0" percent="0" rank="0" text="" dxfId="10">
      <formula>"Overdue"</formula>
    </cfRule>
    <cfRule type="cellIs" priority="3" operator="equal" aboveAverage="0" equalAverage="0" bottom="0" percent="0" rank="0" text="" dxfId="11">
      <formula>"Due today"</formula>
    </cfRule>
    <cfRule type="cellIs" priority="4" operator="equal" aboveAverage="0" equalAverage="0" bottom="0" percent="0" rank="0" text="" dxfId="12">
      <formula>"Due soon"</formula>
    </cfRule>
  </conditionalFormatting>
  <dataValidations count="5">
    <dataValidation allowBlank="true" errorStyle="stop" operator="between" showDropDown="false" showErrorMessage="false" showInputMessage="false" sqref="D3:D92" type="list">
      <formula1>"Seller,Buyer"</formula1>
      <formula2>0</formula2>
    </dataValidation>
    <dataValidation allowBlank="true" errorStyle="stop" operator="between" showDropDown="false" showErrorMessage="false" showInputMessage="false" sqref="F3:F92" type="list">
      <formula1>"Online listing,Referral,Walk-in,Cold call"</formula1>
      <formula2>0</formula2>
    </dataValidation>
    <dataValidation allowBlank="true" errorStyle="stop" operator="between" showDropDown="false" showErrorMessage="false" showInputMessage="false" sqref="J3:J92" type="list">
      <formula1>"Answered - interested,Answered - not now,No answer,Call back requested,Wrong number"</formula1>
      <formula2>0</formula2>
    </dataValidation>
    <dataValidation allowBlank="true" errorStyle="stop" operator="between" showDropDown="false" showErrorMessage="false" showInputMessage="false" sqref="K3:K92" type="list">
      <formula1>"High,Medium,Low"</formula1>
      <formula2>0</formula2>
    </dataValidation>
    <dataValidation allowBlank="true" errorStyle="stop" operator="between" showDropDown="false" showErrorMessage="false" showInputMessage="false" sqref="L3:L92" type="list">
      <formula1>"New,Contacted,Viewing set,Negotiating,Closed,Dropped"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27" t="s">
        <v>169</v>
      </c>
    </row>
    <row r="3" customFormat="false" ht="15" hidden="false" customHeight="false" outlineLevel="0" collapsed="false">
      <c r="B3" s="2" t="s">
        <v>170</v>
      </c>
    </row>
    <row r="5" customFormat="false" ht="15" hidden="false" customHeight="false" outlineLevel="0" collapsed="false">
      <c r="B5" s="28" t="s">
        <v>171</v>
      </c>
      <c r="C5" s="29"/>
    </row>
    <row r="6" customFormat="false" ht="30" hidden="false" customHeight="true" outlineLevel="0" collapsed="false">
      <c r="B6" s="30"/>
      <c r="C6" s="31" t="s">
        <v>172</v>
      </c>
    </row>
    <row r="7" customFormat="false" ht="30" hidden="false" customHeight="true" outlineLevel="0" collapsed="false">
      <c r="B7" s="30"/>
      <c r="C7" s="31" t="s">
        <v>173</v>
      </c>
    </row>
    <row r="9" customFormat="false" ht="15" hidden="false" customHeight="false" outlineLevel="0" collapsed="false">
      <c r="B9" s="28" t="s">
        <v>174</v>
      </c>
      <c r="C9" s="29"/>
    </row>
    <row r="10" customFormat="false" ht="18" hidden="false" customHeight="true" outlineLevel="0" collapsed="false">
      <c r="B10" s="30"/>
      <c r="C10" s="31" t="s">
        <v>175</v>
      </c>
    </row>
    <row r="11" customFormat="false" ht="18" hidden="false" customHeight="true" outlineLevel="0" collapsed="false">
      <c r="B11" s="30"/>
      <c r="C11" s="31" t="s">
        <v>176</v>
      </c>
    </row>
    <row r="12" customFormat="false" ht="18" hidden="false" customHeight="true" outlineLevel="0" collapsed="false">
      <c r="B12" s="30"/>
      <c r="C12" s="31" t="s">
        <v>177</v>
      </c>
    </row>
    <row r="13" customFormat="false" ht="18" hidden="false" customHeight="true" outlineLevel="0" collapsed="false">
      <c r="B13" s="30"/>
      <c r="C13" s="31" t="s">
        <v>178</v>
      </c>
    </row>
    <row r="15" customFormat="false" ht="15" hidden="false" customHeight="false" outlineLevel="0" collapsed="false">
      <c r="B15" s="28" t="s">
        <v>179</v>
      </c>
      <c r="C15" s="29"/>
    </row>
    <row r="16" customFormat="false" ht="18" hidden="false" customHeight="true" outlineLevel="0" collapsed="false">
      <c r="B16" s="30"/>
      <c r="C16" s="31" t="s">
        <v>180</v>
      </c>
    </row>
    <row r="17" customFormat="false" ht="18" hidden="false" customHeight="true" outlineLevel="0" collapsed="false">
      <c r="B17" s="30"/>
      <c r="C17" s="31" t="s">
        <v>181</v>
      </c>
    </row>
    <row r="18" customFormat="false" ht="18" hidden="false" customHeight="true" outlineLevel="0" collapsed="false">
      <c r="B18" s="30"/>
      <c r="C18" s="31" t="s">
        <v>182</v>
      </c>
    </row>
    <row r="20" customFormat="false" ht="15" hidden="false" customHeight="false" outlineLevel="0" collapsed="false">
      <c r="B20" s="28" t="s">
        <v>183</v>
      </c>
      <c r="C20" s="29"/>
    </row>
    <row r="21" customFormat="false" ht="30" hidden="false" customHeight="true" outlineLevel="0" collapsed="false">
      <c r="B21" s="32" t="s">
        <v>184</v>
      </c>
      <c r="C21" s="31" t="s">
        <v>185</v>
      </c>
    </row>
    <row r="22" customFormat="false" ht="30" hidden="false" customHeight="true" outlineLevel="0" collapsed="false">
      <c r="B22" s="32" t="s">
        <v>186</v>
      </c>
      <c r="C22" s="31" t="s">
        <v>187</v>
      </c>
    </row>
    <row r="23" customFormat="false" ht="30" hidden="false" customHeight="true" outlineLevel="0" collapsed="false">
      <c r="B23" s="32" t="s">
        <v>188</v>
      </c>
      <c r="C23" s="31" t="s">
        <v>189</v>
      </c>
    </row>
    <row r="24" customFormat="false" ht="30" hidden="false" customHeight="true" outlineLevel="0" collapsed="false">
      <c r="B24" s="32" t="s">
        <v>190</v>
      </c>
      <c r="C24" s="31" t="s">
        <v>191</v>
      </c>
    </row>
    <row r="25" customFormat="false" ht="30" hidden="false" customHeight="true" outlineLevel="0" collapsed="false">
      <c r="B25" s="32" t="s">
        <v>192</v>
      </c>
      <c r="C25" s="31" t="s">
        <v>193</v>
      </c>
    </row>
    <row r="27" customFormat="false" ht="15" hidden="false" customHeight="false" outlineLevel="0" collapsed="false">
      <c r="B27" s="28" t="s">
        <v>194</v>
      </c>
      <c r="C27" s="29"/>
    </row>
    <row r="28" customFormat="false" ht="18" hidden="false" customHeight="true" outlineLevel="0" collapsed="false">
      <c r="B28" s="30"/>
      <c r="C28" s="31" t="s">
        <v>195</v>
      </c>
    </row>
    <row r="29" customFormat="false" ht="18" hidden="false" customHeight="true" outlineLevel="0" collapsed="false">
      <c r="B29" s="30"/>
      <c r="C29" s="31" t="s">
        <v>196</v>
      </c>
    </row>
    <row r="31" customFormat="false" ht="15" hidden="false" customHeight="false" outlineLevel="0" collapsed="false">
      <c r="B31" s="28" t="s">
        <v>197</v>
      </c>
      <c r="C31" s="29"/>
    </row>
    <row r="32" customFormat="false" ht="18" hidden="false" customHeight="true" outlineLevel="0" collapsed="false">
      <c r="B32" s="30"/>
      <c r="C32" s="31" t="s">
        <v>198</v>
      </c>
    </row>
    <row r="33" customFormat="false" ht="18" hidden="false" customHeight="true" outlineLevel="0" collapsed="false">
      <c r="B33" s="30"/>
      <c r="C33" s="31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90"/>
  </cols>
  <sheetData>
    <row r="2" customFormat="false" ht="22.05" hidden="false" customHeight="false" outlineLevel="0" collapsed="false">
      <c r="B2" s="27" t="s">
        <v>200</v>
      </c>
    </row>
    <row r="3" customFormat="false" ht="15" hidden="false" customHeight="false" outlineLevel="0" collapsed="false">
      <c r="B3" s="2" t="s">
        <v>201</v>
      </c>
    </row>
    <row r="5" customFormat="false" ht="15" hidden="false" customHeight="false" outlineLevel="0" collapsed="false">
      <c r="B5" s="9" t="s">
        <v>202</v>
      </c>
      <c r="C5" s="9" t="s">
        <v>203</v>
      </c>
      <c r="D5" s="9" t="s">
        <v>204</v>
      </c>
      <c r="E5" s="9" t="s">
        <v>205</v>
      </c>
    </row>
    <row r="6" customFormat="false" ht="150" hidden="false" customHeight="true" outlineLevel="0" collapsed="false">
      <c r="B6" s="32" t="s">
        <v>206</v>
      </c>
      <c r="C6" s="31" t="s">
        <v>207</v>
      </c>
      <c r="D6" s="31" t="s">
        <v>208</v>
      </c>
      <c r="E6" s="31" t="s">
        <v>209</v>
      </c>
    </row>
    <row r="7" customFormat="false" ht="150" hidden="false" customHeight="true" outlineLevel="0" collapsed="false">
      <c r="B7" s="32" t="s">
        <v>210</v>
      </c>
      <c r="C7" s="31" t="s">
        <v>211</v>
      </c>
      <c r="D7" s="31" t="s">
        <v>212</v>
      </c>
      <c r="E7" s="31" t="s">
        <v>213</v>
      </c>
    </row>
    <row r="8" customFormat="false" ht="150" hidden="false" customHeight="true" outlineLevel="0" collapsed="false">
      <c r="B8" s="32" t="s">
        <v>214</v>
      </c>
      <c r="C8" s="31" t="s">
        <v>215</v>
      </c>
      <c r="D8" s="31" t="s">
        <v>216</v>
      </c>
      <c r="E8" s="31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51F"/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2"/>
  </cols>
  <sheetData>
    <row r="2" customFormat="false" ht="22.05" hidden="false" customHeight="false" outlineLevel="0" collapsed="false">
      <c r="B2" s="27" t="s">
        <v>218</v>
      </c>
    </row>
    <row r="3" customFormat="false" ht="15" hidden="false" customHeight="false" outlineLevel="0" collapsed="false">
      <c r="B3" s="2" t="s">
        <v>219</v>
      </c>
    </row>
    <row r="5" customFormat="false" ht="33.75" hidden="false" customHeight="true" outlineLevel="0" collapsed="false">
      <c r="B5" s="33" t="s">
        <v>220</v>
      </c>
      <c r="C5" s="34" t="s">
        <v>221</v>
      </c>
    </row>
    <row r="6" customFormat="false" ht="33.75" hidden="false" customHeight="true" outlineLevel="0" collapsed="false">
      <c r="B6" s="35" t="s">
        <v>222</v>
      </c>
      <c r="C6" s="36" t="s">
        <v>223</v>
      </c>
    </row>
    <row r="7" customFormat="false" ht="33.75" hidden="false" customHeight="true" outlineLevel="0" collapsed="false">
      <c r="B7" s="33" t="s">
        <v>224</v>
      </c>
      <c r="C7" s="34" t="s">
        <v>225</v>
      </c>
    </row>
    <row r="8" customFormat="false" ht="33.75" hidden="false" customHeight="true" outlineLevel="0" collapsed="false">
      <c r="B8" s="33" t="s">
        <v>226</v>
      </c>
      <c r="C8" s="34" t="s">
        <v>227</v>
      </c>
    </row>
    <row r="9" customFormat="false" ht="19.5" hidden="false" customHeight="true" outlineLevel="0" collapsed="false">
      <c r="B9" s="33" t="s">
        <v>228</v>
      </c>
      <c r="C9" s="34" t="s">
        <v>229</v>
      </c>
    </row>
    <row r="10" customFormat="false" ht="33.75" hidden="false" customHeight="true" outlineLevel="0" collapsed="false">
      <c r="B10" s="33" t="s">
        <v>230</v>
      </c>
      <c r="C10" s="34" t="s">
        <v>231</v>
      </c>
    </row>
    <row r="11" customFormat="false" ht="33.75" hidden="false" customHeight="true" outlineLevel="0" collapsed="false">
      <c r="B11" s="33" t="s">
        <v>232</v>
      </c>
      <c r="C11" s="34" t="s">
        <v>233</v>
      </c>
    </row>
    <row r="12" customFormat="false" ht="19.5" hidden="false" customHeight="true" outlineLevel="0" collapsed="false">
      <c r="B12" s="33" t="s">
        <v>234</v>
      </c>
      <c r="C12" s="34" t="s">
        <v>235</v>
      </c>
    </row>
    <row r="13" customFormat="false" ht="19.5" hidden="false" customHeight="true" outlineLevel="0" collapsed="false">
      <c r="B13" s="33" t="s">
        <v>236</v>
      </c>
      <c r="C13" s="34" t="s">
        <v>237</v>
      </c>
    </row>
    <row r="15" customFormat="false" ht="15" hidden="false" customHeight="false" outlineLevel="0" collapsed="false">
      <c r="B15" s="37" t="s">
        <v>238</v>
      </c>
    </row>
    <row r="16" customFormat="false" ht="15" hidden="false" customHeight="false" outlineLevel="0" collapsed="false">
      <c r="B16" s="38" t="s">
        <v>239</v>
      </c>
      <c r="C16" s="39" t="s">
        <v>240</v>
      </c>
    </row>
    <row r="17" customFormat="false" ht="15" hidden="false" customHeight="false" outlineLevel="0" collapsed="false">
      <c r="B17" s="39" t="s">
        <v>241</v>
      </c>
      <c r="C17" s="39" t="s">
        <v>242</v>
      </c>
    </row>
    <row r="18" customFormat="false" ht="15" hidden="false" customHeight="false" outlineLevel="0" collapsed="false">
      <c r="B18" s="40" t="s">
        <v>243</v>
      </c>
      <c r="C18" s="39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2026-10-13T10:07:57Z</dcterms:created>
  <dc:creator>openpyxl</dc:creator>
  <dc:description/>
  <dc:language>en-US</dc:language>
  <cp:lastModifiedBy/>
  <dcterms:modified xsi:type="dcterms:W3CDTF">2026-10-13T10:08:03Z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