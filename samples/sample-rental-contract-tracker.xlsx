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Units" sheetId="2" state="visible" r:id="rId4"/>
    <sheet name="Checkpoints" sheetId="3" state="visible" r:id="rId5"/>
    <sheet name="Read Me" sheetId="4" state="visible" r:id="rId6"/>
  </sheets>
  <definedNames>
    <definedName function="false" hidden="true" localSheetId="1" name="_xlnm._FilterDatabase" vbProcedure="false">Units!$A$2:$N$20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<sst xmlns="http://schemas.openxmlformats.org/spreadsheetml/2006/main" count="174" uniqueCount="131">
  <si>
    <t xml:space="preserve">Rental &amp; Contract Tracker</t>
  </si>
  <si>
    <t xml:space="preserve">Prepared by Andrei Rubic  |  SAMPLE WITH DUMMY DATA</t>
  </si>
  <si>
    <t xml:space="preserve">Report date</t>
  </si>
  <si>
    <t xml:space="preserve">Key numbers</t>
  </si>
  <si>
    <t xml:space="preserve">Total units</t>
  </si>
  <si>
    <t xml:space="preserve">Occupied units</t>
  </si>
  <si>
    <t xml:space="preserve">Occupancy rate</t>
  </si>
  <si>
    <t xml:space="preserve">Total occupants</t>
  </si>
  <si>
    <t xml:space="preserve">Monthly rent roll (PHP)</t>
  </si>
  <si>
    <t xml:space="preserve">Deposits held (PHP)</t>
  </si>
  <si>
    <t xml:space="preserve">Contracts expiring within 30 days</t>
  </si>
  <si>
    <t xml:space="preserve">Contracts expired</t>
  </si>
  <si>
    <t xml:space="preserve">Payments overdue</t>
  </si>
  <si>
    <t xml:space="preserve">Payments due within 5 days</t>
  </si>
  <si>
    <t xml:space="preserve">Contracts by status</t>
  </si>
  <si>
    <t xml:space="preserve">Payments by status</t>
  </si>
  <si>
    <t xml:space="preserve">Status</t>
  </si>
  <si>
    <t xml:space="preserve">Units</t>
  </si>
  <si>
    <t xml:space="preserve">Active</t>
  </si>
  <si>
    <t xml:space="preserve">On track</t>
  </si>
  <si>
    <t xml:space="preserve">Expiring soon</t>
  </si>
  <si>
    <t xml:space="preserve">Due soon</t>
  </si>
  <si>
    <t xml:space="preserve">Expired</t>
  </si>
  <si>
    <t xml:space="preserve">Overdue</t>
  </si>
  <si>
    <t xml:space="preserve">Vacant</t>
  </si>
  <si>
    <t xml:space="preserve">SAMPLE DATA: all units, tenants, rents, and notes are fictional and for illustration only</t>
  </si>
  <si>
    <t xml:space="preserve">Unit ID</t>
  </si>
  <si>
    <t xml:space="preserve">Property / Location</t>
  </si>
  <si>
    <t xml:space="preserve">Tenant (dummy)</t>
  </si>
  <si>
    <t xml:space="preserve">Occupants</t>
  </si>
  <si>
    <t xml:space="preserve">Monthly Rent (PHP)</t>
  </si>
  <si>
    <t xml:space="preserve">Deposit (PHP)</t>
  </si>
  <si>
    <t xml:space="preserve">Contract Start</t>
  </si>
  <si>
    <t xml:space="preserve">Contract End</t>
  </si>
  <si>
    <t xml:space="preserve">Next Due Date</t>
  </si>
  <si>
    <t xml:space="preserve">Move-in Checklist</t>
  </si>
  <si>
    <t xml:space="preserve">Days to Contract End</t>
  </si>
  <si>
    <t xml:space="preserve">Contract Status</t>
  </si>
  <si>
    <t xml:space="preserve">Payment Status</t>
  </si>
  <si>
    <t xml:space="preserve">Notes</t>
  </si>
  <si>
    <t xml:space="preserve">U-01</t>
  </si>
  <si>
    <t xml:space="preserve">Compound A, Sample City</t>
  </si>
  <si>
    <t xml:space="preserve">Tenant 01 (sample)</t>
  </si>
  <si>
    <t xml:space="preserve">Done</t>
  </si>
  <si>
    <t xml:space="preserve">U-02</t>
  </si>
  <si>
    <t xml:space="preserve">Compound B, Sample City</t>
  </si>
  <si>
    <t xml:space="preserve">Tenant 02 (sample)</t>
  </si>
  <si>
    <t xml:space="preserve">U-03</t>
  </si>
  <si>
    <t xml:space="preserve">Tenant 03 (sample)</t>
  </si>
  <si>
    <t xml:space="preserve">U-04</t>
  </si>
  <si>
    <t xml:space="preserve">Tenant 04 (sample)</t>
  </si>
  <si>
    <t xml:space="preserve">Renewal discussion scheduled (sample note)</t>
  </si>
  <si>
    <t xml:space="preserve">U-05</t>
  </si>
  <si>
    <t xml:space="preserve">Tenant 05 (sample)</t>
  </si>
  <si>
    <t xml:space="preserve">EXAMPLE ROW: shows the expected format. Replace with your own units.</t>
  </si>
  <si>
    <t xml:space="preserve">U-06</t>
  </si>
  <si>
    <t xml:space="preserve">Tenant 06 (sample)</t>
  </si>
  <si>
    <t xml:space="preserve">U-07</t>
  </si>
  <si>
    <t xml:space="preserve">Tenant 07 (sample)</t>
  </si>
  <si>
    <t xml:space="preserve">U-08</t>
  </si>
  <si>
    <t xml:space="preserve">Tenant 08 (sample)</t>
  </si>
  <si>
    <t xml:space="preserve">U-09</t>
  </si>
  <si>
    <t xml:space="preserve">Tenant 09 (sample)</t>
  </si>
  <si>
    <t xml:space="preserve">Minor repair logged (sample note)</t>
  </si>
  <si>
    <t xml:space="preserve">U-10</t>
  </si>
  <si>
    <t xml:space="preserve">Tenant 10 (sample)</t>
  </si>
  <si>
    <t xml:space="preserve">U-11</t>
  </si>
  <si>
    <t xml:space="preserve">Tenant 11 (sample)</t>
  </si>
  <si>
    <t xml:space="preserve">U-12</t>
  </si>
  <si>
    <t xml:space="preserve">Tenant 12 (sample)</t>
  </si>
  <si>
    <t xml:space="preserve">U-13</t>
  </si>
  <si>
    <t xml:space="preserve">Tenant 13 (sample)</t>
  </si>
  <si>
    <t xml:space="preserve">U-14</t>
  </si>
  <si>
    <t xml:space="preserve">Tenant 14 (sample)</t>
  </si>
  <si>
    <t xml:space="preserve">Requested extension (sample note)</t>
  </si>
  <si>
    <t xml:space="preserve">U-15</t>
  </si>
  <si>
    <t xml:space="preserve">Tenant 15 (sample)</t>
  </si>
  <si>
    <t xml:space="preserve">U-16</t>
  </si>
  <si>
    <t xml:space="preserve">N/A</t>
  </si>
  <si>
    <t xml:space="preserve">U-17</t>
  </si>
  <si>
    <t xml:space="preserve">Tenant 17 (sample)</t>
  </si>
  <si>
    <t xml:space="preserve">U-18</t>
  </si>
  <si>
    <t xml:space="preserve">Tenant 18 (sample)</t>
  </si>
  <si>
    <t xml:space="preserve">Pending</t>
  </si>
  <si>
    <t xml:space="preserve">Move-in / Move-out Checkpoints (Template)</t>
  </si>
  <si>
    <t xml:space="preserve">Copy this list for each tenant. Mark Done when finished.</t>
  </si>
  <si>
    <t xml:space="preserve">Stage</t>
  </si>
  <si>
    <t xml:space="preserve">Checkpoint</t>
  </si>
  <si>
    <t xml:space="preserve">Done?</t>
  </si>
  <si>
    <t xml:space="preserve">Move-in</t>
  </si>
  <si>
    <t xml:space="preserve">Contract signed by both parties and a copy filed</t>
  </si>
  <si>
    <t xml:space="preserve">Deposit and first rent collected and recorded</t>
  </si>
  <si>
    <t xml:space="preserve">Condition photos and meter readings taken</t>
  </si>
  <si>
    <t xml:space="preserve">Keys handed over, house rules and contact numbers given</t>
  </si>
  <si>
    <t xml:space="preserve">During stay</t>
  </si>
  <si>
    <t xml:space="preserve">Rent collected on the due date and recorded</t>
  </si>
  <si>
    <t xml:space="preserve">Repair requests logged with date and status</t>
  </si>
  <si>
    <t xml:space="preserve">Periodic inspection done and noted</t>
  </si>
  <si>
    <t xml:space="preserve">Renewal discussed 30 days before contract end</t>
  </si>
  <si>
    <t xml:space="preserve">Move-out</t>
  </si>
  <si>
    <t xml:space="preserve">Notice received and move-out date confirmed</t>
  </si>
  <si>
    <t xml:space="preserve">Final inspection with photos and meter readings</t>
  </si>
  <si>
    <t xml:space="preserve">Deposit reconciled against repairs and unpaid rent</t>
  </si>
  <si>
    <t xml:space="preserve">Keys returned, unit marked Vacant, contract archived</t>
  </si>
  <si>
    <t xml:space="preserve">Rental &amp; Contract Tracker: Sample Workbook</t>
  </si>
  <si>
    <t xml:space="preserve">SAMPLE with dummy data. Prepared by Andrei Rubic to show how I track occupancy, contracts, and payments.</t>
  </si>
  <si>
    <t xml:space="preserve">Purpose</t>
  </si>
  <si>
    <t xml:space="preserve">Shows how rented units, contract dates, and payment due dates are tracked so nothing expires or goes unpaid unnoticed.</t>
  </si>
  <si>
    <t xml:space="preserve">IMPORTANT</t>
  </si>
  <si>
    <t xml:space="preserve">All units, tenants, rents, dates, and notes are fictional. Nothing here is real data from any past employer or tenant.</t>
  </si>
  <si>
    <t xml:space="preserve">Sheets</t>
  </si>
  <si>
    <t xml:space="preserve">Dashboard (auto-calculated) | Units (the log) | Checkpoints (move-in / move-out template) | Read Me.</t>
  </si>
  <si>
    <t xml:space="preserve">What to edit</t>
  </si>
  <si>
    <t xml:space="preserve">Blue-text cells on Units, and the yellow report date on Dashboard. Everything else updates automatically.</t>
  </si>
  <si>
    <t xml:space="preserve">Auto-calculated</t>
  </si>
  <si>
    <t xml:space="preserve">Units columns K, L, M (days to contract end, contract status, payment status) and all Dashboard numbers.</t>
  </si>
  <si>
    <t xml:space="preserve">Contract status</t>
  </si>
  <si>
    <t xml:space="preserve">Expired = end date has passed | Expiring soon = within 30 days | Active | Vacant = no tenant entered.</t>
  </si>
  <si>
    <t xml:space="preserve">Payment status</t>
  </si>
  <si>
    <t xml:space="preserve">Overdue = next due date has passed | Due soon = within 5 days | On track. Update Next Due Date after each payment.</t>
  </si>
  <si>
    <t xml:space="preserve">Example row</t>
  </si>
  <si>
    <t xml:space="preserve">The row marked EXAMPLE ROW in the Notes column shows the expected format. Replace or delete it when using real data.</t>
  </si>
  <si>
    <t xml:space="preserve">To add units</t>
  </si>
  <si>
    <t xml:space="preserve">Insert rows inside the table (above the last row) so the Dashboard formulas include them.</t>
  </si>
  <si>
    <t xml:space="preserve">Legend</t>
  </si>
  <si>
    <t xml:space="preserve">Blue text</t>
  </si>
  <si>
    <t xml:space="preserve">Input you type or paste</t>
  </si>
  <si>
    <t xml:space="preserve">Black text</t>
  </si>
  <si>
    <t xml:space="preserve">Formula (calculated automatically)</t>
  </si>
  <si>
    <t xml:space="preserve">Yellow cell</t>
  </si>
  <si>
    <t xml:space="preserve">Report date: change it to the day you are reviewing (or replace with =TODAY())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</si>
</sst>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 mmm\ yyyy"/>
    <numFmt numFmtId="166" formatCode="#,##0"/>
    <numFmt numFmtId="167" formatCode="0%"/>
    <numFmt numFmtId="168" formatCode="General"/>
    <numFmt numFmtId="169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352819"/>
      <name val="Arial"/>
      <family val="0"/>
      <charset val="1"/>
    </font>
    <font>
      <i val="true"/>
      <sz val="10"/>
      <color rgb="FFA8651F"/>
      <name val="Arial"/>
      <family val="0"/>
      <charset val="1"/>
    </font>
    <font>
      <b val="true"/>
      <sz val="10"/>
      <color rgb="FF35281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35281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A865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A8651F"/>
      <name val="Arial"/>
      <family val="0"/>
      <charset val="1"/>
    </font>
    <font>
      <b val="true"/>
      <sz val="18"/>
      <color rgb="FF35281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35281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F6E8"/>
        <bgColor rgb="FFFFF2CC"/>
      </patternFill>
    </fill>
    <fill>
      <patternFill patternType="solid">
        <fgColor rgb="FF352819"/>
        <bgColor rgb="FF333333"/>
      </patternFill>
    </fill>
    <fill>
      <patternFill patternType="solid">
        <fgColor rgb="FFFFF2CC"/>
        <bgColor rgb="FFF6F6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9BF"/>
      </left>
      <right style="thin">
        <color rgb="FFDCD9BF"/>
      </right>
      <top style="thin">
        <color rgb="FFDCD9BF"/>
      </top>
      <bottom style="thin">
        <color rgb="FFDCD9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352819"/>
          <bgColor rgb="FF000000"/>
        </patternFill>
      </fill>
    </dxf>
    <dxf>
      <fill>
        <patternFill patternType="solid">
          <fgColor rgb="FFF6F6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4C7C3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DCD9BF"/>
      <rgbColor rgb="FF878787"/>
      <rgbColor rgb="FF9999FF"/>
      <rgbColor rgb="FF993366"/>
      <rgbColor rgb="FFFFF2CC"/>
      <rgbColor rgb="FFF6F6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888888"/>
      <rgbColor rgb="FF003366"/>
      <rgbColor rgb="FF339966"/>
      <rgbColor rgb="FF003300"/>
      <rgbColor rgb="FF352819"/>
      <rgbColor rgb="FFA865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Contracts by status (dummy data)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Dashboard!C19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352819"/>
            </a:solidFill>
            <a:ln w="9360">
              <a:solidFill>
                <a:srgbClr val="35281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Dashboard!$B$20:$B$23</c:f>
              <c:strCache>
                <c:ptCount val="4"/>
                <c:pt idx="0">
                  <c:v>Active</c:v>
                </c:pt>
                <c:pt idx="1">
                  <c:v>Expiring soon</c:v>
                </c:pt>
                <c:pt idx="2">
                  <c:v>Expired</c:v>
                </c:pt>
                <c:pt idx="3">
                  <c:v>Vacant</c:v>
                </c:pt>
              </c:strCache>
            </c:strRef>
          </c:cat>
          <c:val>
            <c:numRef>
              <c:f>Dashboard!$C$20:$C$23</c:f>
              <c:numCache>
                <c:formatCode>General</c:formatCode>
                <c:ptCount val="4"/>
                <c:pt idx="0">
                  <c:v>14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90031844"/>
        <c:axId val="59155139"/>
      </c:barChart>
      <c:catAx>
        <c:axId val="900318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55139"/>
        <c:crosses val="autoZero"/>
        <c:auto val="1"/>
        <c:lblAlgn val="ctr"/>
        <c:lblOffset val="100"/>
        <c:noMultiLvlLbl val="0"/>
      </c:catAx>
      <c:valAx>
        <c:axId val="591551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318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40680</xdr:rowOff>
    </xdr:from>
    <xdr:to>
      <xdr:col>4</xdr:col>
      <xdr:colOff>1812240</xdr:colOff>
      <xdr:row>39</xdr:row>
      <xdr:rowOff>62640</xdr:rowOff>
    </xdr:to>
    <xdr:graphicFrame>
      <xdr:nvGraphicFramePr>
        <xdr:cNvPr id="0" name="Chart 1"/>
        <xdr:cNvGraphicFramePr/>
      </xdr:nvGraphicFramePr>
      <xdr:xfrm>
        <a:off x="211320" y="4762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52819"/>
    <pageSetUpPr fitToPage="true"/>
  </sheetPr>
  <dimension ref="B2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14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  <c r="C4" s="4" t="n">
        <v>46308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6" t="s">
        <v>4</v>
      </c>
      <c r="C7" s="7" t="n">
        <f aca="false">COUNTA(Units!$A$3:$A$20)</f>
        <v>18</v>
      </c>
    </row>
    <row r="8" customFormat="false" ht="15" hidden="false" customHeight="false" outlineLevel="0" collapsed="false">
      <c r="B8" s="6" t="s">
        <v>5</v>
      </c>
      <c r="C8" s="7" t="n">
        <f aca="false">COUNTIF(Units!$L$3:$L$20,"&lt;&gt;Vacant")</f>
        <v>17</v>
      </c>
    </row>
    <row r="9" customFormat="false" ht="15" hidden="false" customHeight="false" outlineLevel="0" collapsed="false">
      <c r="B9" s="6" t="s">
        <v>6</v>
      </c>
      <c r="C9" s="8" t="n">
        <f aca="false">IFERROR(C8/C7,0)</f>
        <v>0.944444444444444</v>
      </c>
    </row>
    <row r="10" customFormat="false" ht="15" hidden="false" customHeight="false" outlineLevel="0" collapsed="false">
      <c r="B10" s="6" t="s">
        <v>7</v>
      </c>
      <c r="C10" s="7" t="n">
        <f aca="false">SUM(Units!$D$3:$D$20)</f>
        <v>28</v>
      </c>
    </row>
    <row r="11" customFormat="false" ht="15" hidden="false" customHeight="false" outlineLevel="0" collapsed="false">
      <c r="B11" s="6" t="s">
        <v>8</v>
      </c>
      <c r="C11" s="7" t="n">
        <f aca="false">SUMIF(Units!$C$3:$C$20,"&lt;&gt;",Units!$E$3:$E$20)</f>
        <v>94000</v>
      </c>
    </row>
    <row r="12" customFormat="false" ht="15" hidden="false" customHeight="false" outlineLevel="0" collapsed="false">
      <c r="B12" s="6" t="s">
        <v>9</v>
      </c>
      <c r="C12" s="7" t="n">
        <f aca="false">SUMIF(Units!$C$3:$C$20,"&lt;&gt;",Units!$F$3:$F$20)</f>
        <v>188000</v>
      </c>
    </row>
    <row r="13" customFormat="false" ht="15" hidden="false" customHeight="false" outlineLevel="0" collapsed="false">
      <c r="B13" s="6" t="s">
        <v>10</v>
      </c>
      <c r="C13" s="7" t="n">
        <f aca="false">COUNTIF(Units!$L$3:$L$20,"Expiring soon")</f>
        <v>2</v>
      </c>
    </row>
    <row r="14" customFormat="false" ht="15" hidden="false" customHeight="false" outlineLevel="0" collapsed="false">
      <c r="B14" s="6" t="s">
        <v>11</v>
      </c>
      <c r="C14" s="7" t="n">
        <f aca="false">COUNTIF(Units!$L$3:$L$20,"Expired")</f>
        <v>1</v>
      </c>
    </row>
    <row r="15" customFormat="false" ht="15" hidden="false" customHeight="false" outlineLevel="0" collapsed="false">
      <c r="B15" s="6" t="s">
        <v>12</v>
      </c>
      <c r="C15" s="7" t="n">
        <f aca="false">COUNTIF(Units!$M$3:$M$20,"Overdue")</f>
        <v>2</v>
      </c>
    </row>
    <row r="16" customFormat="false" ht="15" hidden="false" customHeight="false" outlineLevel="0" collapsed="false">
      <c r="B16" s="6" t="s">
        <v>13</v>
      </c>
      <c r="C16" s="7" t="n">
        <f aca="false">COUNTIF(Units!$M$3:$M$20,"Due soon")</f>
        <v>4</v>
      </c>
    </row>
    <row r="18" customFormat="false" ht="15" hidden="false" customHeight="false" outlineLevel="0" collapsed="false">
      <c r="B18" s="5" t="s">
        <v>14</v>
      </c>
      <c r="E18" s="5" t="s">
        <v>15</v>
      </c>
    </row>
    <row r="19" customFormat="false" ht="15" hidden="false" customHeight="false" outlineLevel="0" collapsed="false">
      <c r="B19" s="9" t="s">
        <v>16</v>
      </c>
      <c r="C19" s="9" t="s">
        <v>17</v>
      </c>
      <c r="E19" s="9" t="s">
        <v>16</v>
      </c>
      <c r="F19" s="9" t="s">
        <v>17</v>
      </c>
    </row>
    <row r="20" customFormat="false" ht="15" hidden="false" customHeight="false" outlineLevel="0" collapsed="false">
      <c r="B20" s="10" t="s">
        <v>18</v>
      </c>
      <c r="C20" s="11" t="n">
        <f aca="false">COUNTIF(Units!$L$3:$L$20,B20)</f>
        <v>14</v>
      </c>
      <c r="E20" s="10" t="s">
        <v>19</v>
      </c>
      <c r="F20" s="11" t="n">
        <f aca="false">COUNTIF(Units!$M$3:$M$20,E20)</f>
        <v>11</v>
      </c>
    </row>
    <row r="21" customFormat="false" ht="15" hidden="false" customHeight="false" outlineLevel="0" collapsed="false">
      <c r="B21" s="10" t="s">
        <v>20</v>
      </c>
      <c r="C21" s="11" t="n">
        <f aca="false">COUNTIF(Units!$L$3:$L$20,B21)</f>
        <v>2</v>
      </c>
      <c r="E21" s="10" t="s">
        <v>21</v>
      </c>
      <c r="F21" s="11" t="n">
        <f aca="false">COUNTIF(Units!$M$3:$M$20,E21)</f>
        <v>4</v>
      </c>
    </row>
    <row r="22" customFormat="false" ht="15" hidden="false" customHeight="false" outlineLevel="0" collapsed="false">
      <c r="B22" s="10" t="s">
        <v>22</v>
      </c>
      <c r="C22" s="11" t="n">
        <f aca="false">COUNTIF(Units!$L$3:$L$20,B22)</f>
        <v>1</v>
      </c>
      <c r="E22" s="10" t="s">
        <v>23</v>
      </c>
      <c r="F22" s="11" t="n">
        <f aca="false">COUNTIF(Units!$M$3:$M$20,E22)</f>
        <v>2</v>
      </c>
    </row>
    <row r="23" customFormat="false" ht="15" hidden="false" customHeight="false" outlineLevel="0" collapsed="false">
      <c r="B23" s="10" t="s">
        <v>24</v>
      </c>
      <c r="C23" s="11" t="n">
        <f aca="false">COUNTIF(Units!$L$3:$L$20,B23)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tru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10" min="7" style="0" width="14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2" t="s">
        <v>25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customFormat="false" ht="31.5" hidden="false" customHeight="true" outlineLevel="0" collapsed="false">
      <c r="A2" s="13" t="s">
        <v>26</v>
      </c>
      <c r="B2" s="13" t="s">
        <v>27</v>
      </c>
      <c r="C2" s="13" t="s">
        <v>28</v>
      </c>
      <c r="D2" s="13" t="s">
        <v>29</v>
      </c>
      <c r="E2" s="13" t="s">
        <v>30</v>
      </c>
      <c r="F2" s="13" t="s">
        <v>31</v>
      </c>
      <c r="G2" s="13" t="s">
        <v>32</v>
      </c>
      <c r="H2" s="13" t="s">
        <v>33</v>
      </c>
      <c r="I2" s="13" t="s">
        <v>34</v>
      </c>
      <c r="J2" s="13" t="s">
        <v>35</v>
      </c>
      <c r="K2" s="13" t="s">
        <v>36</v>
      </c>
      <c r="L2" s="13" t="s">
        <v>37</v>
      </c>
      <c r="M2" s="13" t="s">
        <v>38</v>
      </c>
      <c r="N2" s="13" t="s">
        <v>39</v>
      </c>
    </row>
    <row r="3" customFormat="false" ht="15" hidden="false" customHeight="false" outlineLevel="0" collapsed="false">
      <c r="A3" s="14" t="s">
        <v>40</v>
      </c>
      <c r="B3" s="15" t="s">
        <v>41</v>
      </c>
      <c r="C3" s="15" t="s">
        <v>42</v>
      </c>
      <c r="D3" s="15" t="n">
        <v>3</v>
      </c>
      <c r="E3" s="16" t="n">
        <v>6000</v>
      </c>
      <c r="F3" s="16" t="n">
        <v>12000</v>
      </c>
      <c r="G3" s="17" t="n">
        <v>45940</v>
      </c>
      <c r="H3" s="17" t="n">
        <v>46300</v>
      </c>
      <c r="I3" s="17" t="n">
        <v>46302</v>
      </c>
      <c r="J3" s="15" t="s">
        <v>43</v>
      </c>
      <c r="K3" s="18" t="n">
        <f aca="false">IF(OR(C3="",H3=""),"",H3-Dashboard!$C$4)</f>
        <v>-8</v>
      </c>
      <c r="L3" s="19" t="str">
        <f aca="false">IF(C3="","Vacant",IF(K3&lt;0,"Expired",IF(K3&lt;=30,"Expiring soon","Active")))</f>
        <v>Expired</v>
      </c>
      <c r="M3" s="19" t="str">
        <f aca="false">IF(C3="","",IF(I3&lt;Dashboard!$C$4,"Overdue",IF(I3-Dashboard!$C$4&lt;=5,"Due soon","On track")))</f>
        <v>Overdue</v>
      </c>
      <c r="N3" s="10"/>
    </row>
    <row r="4" customFormat="false" ht="15" hidden="false" customHeight="false" outlineLevel="0" collapsed="false">
      <c r="A4" s="20" t="s">
        <v>44</v>
      </c>
      <c r="B4" s="21" t="s">
        <v>45</v>
      </c>
      <c r="C4" s="21" t="s">
        <v>46</v>
      </c>
      <c r="D4" s="21" t="n">
        <v>1</v>
      </c>
      <c r="E4" s="22" t="n">
        <v>5000</v>
      </c>
      <c r="F4" s="22" t="n">
        <v>10000</v>
      </c>
      <c r="G4" s="23" t="n">
        <v>45968</v>
      </c>
      <c r="H4" s="23" t="n">
        <v>46328</v>
      </c>
      <c r="I4" s="23" t="n">
        <v>46306</v>
      </c>
      <c r="J4" s="21" t="s">
        <v>43</v>
      </c>
      <c r="K4" s="24" t="n">
        <f aca="false">IF(OR(C4="",H4=""),"",H4-Dashboard!$C$4)</f>
        <v>20</v>
      </c>
      <c r="L4" s="25" t="str">
        <f aca="false">IF(C4="","Vacant",IF(K4&lt;0,"Expired",IF(K4&lt;=30,"Expiring soon","Active")))</f>
        <v>Expiring soon</v>
      </c>
      <c r="M4" s="25" t="str">
        <f aca="false">IF(C4="","",IF(I4&lt;Dashboard!$C$4,"Overdue",IF(I4-Dashboard!$C$4&lt;=5,"Due soon","On track")))</f>
        <v>Overdue</v>
      </c>
      <c r="N4" s="26"/>
    </row>
    <row r="5" customFormat="false" ht="15" hidden="false" customHeight="false" outlineLevel="0" collapsed="false">
      <c r="A5" s="14" t="s">
        <v>47</v>
      </c>
      <c r="B5" s="15" t="s">
        <v>41</v>
      </c>
      <c r="C5" s="15" t="s">
        <v>48</v>
      </c>
      <c r="D5" s="15" t="n">
        <v>2</v>
      </c>
      <c r="E5" s="16" t="n">
        <v>6000</v>
      </c>
      <c r="F5" s="16" t="n">
        <v>12000</v>
      </c>
      <c r="G5" s="17" t="n">
        <v>46152</v>
      </c>
      <c r="H5" s="17" t="n">
        <v>46332</v>
      </c>
      <c r="I5" s="17" t="n">
        <v>46309</v>
      </c>
      <c r="J5" s="15" t="s">
        <v>43</v>
      </c>
      <c r="K5" s="18" t="n">
        <f aca="false">IF(OR(C5="",H5=""),"",H5-Dashboard!$C$4)</f>
        <v>24</v>
      </c>
      <c r="L5" s="19" t="str">
        <f aca="false">IF(C5="","Vacant",IF(K5&lt;0,"Expired",IF(K5&lt;=30,"Expiring soon","Active")))</f>
        <v>Expiring soon</v>
      </c>
      <c r="M5" s="19" t="str">
        <f aca="false">IF(C5="","",IF(I5&lt;Dashboard!$C$4,"Overdue",IF(I5-Dashboard!$C$4&lt;=5,"Due soon","On track")))</f>
        <v>Due soon</v>
      </c>
      <c r="N5" s="10"/>
    </row>
    <row r="6" customFormat="false" ht="15" hidden="false" customHeight="false" outlineLevel="0" collapsed="false">
      <c r="A6" s="20" t="s">
        <v>49</v>
      </c>
      <c r="B6" s="21" t="s">
        <v>45</v>
      </c>
      <c r="C6" s="21" t="s">
        <v>50</v>
      </c>
      <c r="D6" s="21" t="n">
        <v>3</v>
      </c>
      <c r="E6" s="22" t="n">
        <v>4000</v>
      </c>
      <c r="F6" s="22" t="n">
        <v>8000</v>
      </c>
      <c r="G6" s="23" t="n">
        <v>45993</v>
      </c>
      <c r="H6" s="23" t="n">
        <v>46353</v>
      </c>
      <c r="I6" s="23" t="n">
        <v>46311</v>
      </c>
      <c r="J6" s="21" t="s">
        <v>43</v>
      </c>
      <c r="K6" s="24" t="n">
        <f aca="false">IF(OR(C6="",H6=""),"",H6-Dashboard!$C$4)</f>
        <v>45</v>
      </c>
      <c r="L6" s="25" t="str">
        <f aca="false">IF(C6="","Vacant",IF(K6&lt;0,"Expired",IF(K6&lt;=30,"Expiring soon","Active")))</f>
        <v>Active</v>
      </c>
      <c r="M6" s="25" t="str">
        <f aca="false">IF(C6="","",IF(I6&lt;Dashboard!$C$4,"Overdue",IF(I6-Dashboard!$C$4&lt;=5,"Due soon","On track")))</f>
        <v>Due soon</v>
      </c>
      <c r="N6" s="26" t="s">
        <v>51</v>
      </c>
    </row>
    <row r="7" customFormat="false" ht="15" hidden="false" customHeight="false" outlineLevel="0" collapsed="false">
      <c r="A7" s="14" t="s">
        <v>52</v>
      </c>
      <c r="B7" s="15" t="s">
        <v>41</v>
      </c>
      <c r="C7" s="15" t="s">
        <v>53</v>
      </c>
      <c r="D7" s="15" t="n">
        <v>2</v>
      </c>
      <c r="E7" s="16" t="n">
        <v>5000</v>
      </c>
      <c r="F7" s="16" t="n">
        <v>10000</v>
      </c>
      <c r="G7" s="17" t="n">
        <v>46198</v>
      </c>
      <c r="H7" s="17" t="n">
        <v>46378</v>
      </c>
      <c r="I7" s="17" t="n">
        <v>46313</v>
      </c>
      <c r="J7" s="15" t="s">
        <v>43</v>
      </c>
      <c r="K7" s="18" t="n">
        <f aca="false">IF(OR(C7="",H7=""),"",H7-Dashboard!$C$4)</f>
        <v>70</v>
      </c>
      <c r="L7" s="19" t="str">
        <f aca="false">IF(C7="","Vacant",IF(K7&lt;0,"Expired",IF(K7&lt;=30,"Expiring soon","Active")))</f>
        <v>Active</v>
      </c>
      <c r="M7" s="19" t="str">
        <f aca="false">IF(C7="","",IF(I7&lt;Dashboard!$C$4,"Overdue",IF(I7-Dashboard!$C$4&lt;=5,"Due soon","On track")))</f>
        <v>Due soon</v>
      </c>
      <c r="N7" s="10" t="s">
        <v>54</v>
      </c>
    </row>
    <row r="8" customFormat="false" ht="15" hidden="false" customHeight="false" outlineLevel="0" collapsed="false">
      <c r="A8" s="20" t="s">
        <v>55</v>
      </c>
      <c r="B8" s="21" t="s">
        <v>45</v>
      </c>
      <c r="C8" s="21" t="s">
        <v>56</v>
      </c>
      <c r="D8" s="21" t="n">
        <v>1</v>
      </c>
      <c r="E8" s="22" t="n">
        <v>7500</v>
      </c>
      <c r="F8" s="22" t="n">
        <v>15000</v>
      </c>
      <c r="G8" s="23" t="n">
        <v>46218</v>
      </c>
      <c r="H8" s="23" t="n">
        <v>46398</v>
      </c>
      <c r="I8" s="23" t="n">
        <v>46316</v>
      </c>
      <c r="J8" s="21" t="s">
        <v>43</v>
      </c>
      <c r="K8" s="24" t="n">
        <f aca="false">IF(OR(C8="",H8=""),"",H8-Dashboard!$C$4)</f>
        <v>90</v>
      </c>
      <c r="L8" s="25" t="str">
        <f aca="false">IF(C8="","Vacant",IF(K8&lt;0,"Expired",IF(K8&lt;=30,"Expiring soon","Active")))</f>
        <v>Active</v>
      </c>
      <c r="M8" s="25" t="str">
        <f aca="false">IF(C8="","",IF(I8&lt;Dashboard!$C$4,"Overdue",IF(I8-Dashboard!$C$4&lt;=5,"Due soon","On track")))</f>
        <v>On track</v>
      </c>
      <c r="N8" s="26"/>
    </row>
    <row r="9" customFormat="false" ht="15" hidden="false" customHeight="false" outlineLevel="0" collapsed="false">
      <c r="A9" s="14" t="s">
        <v>57</v>
      </c>
      <c r="B9" s="15" t="s">
        <v>41</v>
      </c>
      <c r="C9" s="15" t="s">
        <v>58</v>
      </c>
      <c r="D9" s="15" t="n">
        <v>1</v>
      </c>
      <c r="E9" s="16" t="n">
        <v>8000</v>
      </c>
      <c r="F9" s="16" t="n">
        <v>16000</v>
      </c>
      <c r="G9" s="17" t="n">
        <v>46238</v>
      </c>
      <c r="H9" s="17" t="n">
        <v>46418</v>
      </c>
      <c r="I9" s="17" t="n">
        <v>46320</v>
      </c>
      <c r="J9" s="15" t="s">
        <v>43</v>
      </c>
      <c r="K9" s="18" t="n">
        <f aca="false">IF(OR(C9="",H9=""),"",H9-Dashboard!$C$4)</f>
        <v>110</v>
      </c>
      <c r="L9" s="19" t="str">
        <f aca="false">IF(C9="","Vacant",IF(K9&lt;0,"Expired",IF(K9&lt;=30,"Expiring soon","Active")))</f>
        <v>Active</v>
      </c>
      <c r="M9" s="19" t="str">
        <f aca="false">IF(C9="","",IF(I9&lt;Dashboard!$C$4,"Overdue",IF(I9-Dashboard!$C$4&lt;=5,"Due soon","On track")))</f>
        <v>On track</v>
      </c>
      <c r="N9" s="10"/>
    </row>
    <row r="10" customFormat="false" ht="15" hidden="false" customHeight="false" outlineLevel="0" collapsed="false">
      <c r="A10" s="20" t="s">
        <v>59</v>
      </c>
      <c r="B10" s="21" t="s">
        <v>45</v>
      </c>
      <c r="C10" s="21" t="s">
        <v>60</v>
      </c>
      <c r="D10" s="21" t="n">
        <v>1</v>
      </c>
      <c r="E10" s="22" t="n">
        <v>3500</v>
      </c>
      <c r="F10" s="22" t="n">
        <v>7000</v>
      </c>
      <c r="G10" s="23" t="n">
        <v>46268</v>
      </c>
      <c r="H10" s="23" t="n">
        <v>46448</v>
      </c>
      <c r="I10" s="23" t="n">
        <v>46323</v>
      </c>
      <c r="J10" s="21" t="s">
        <v>43</v>
      </c>
      <c r="K10" s="24" t="n">
        <f aca="false">IF(OR(C10="",H10=""),"",H10-Dashboard!$C$4)</f>
        <v>140</v>
      </c>
      <c r="L10" s="25" t="str">
        <f aca="false">IF(C10="","Vacant",IF(K10&lt;0,"Expired",IF(K10&lt;=30,"Expiring soon","Active")))</f>
        <v>Active</v>
      </c>
      <c r="M10" s="25" t="str">
        <f aca="false">IF(C10="","",IF(I10&lt;Dashboard!$C$4,"Overdue",IF(I10-Dashboard!$C$4&lt;=5,"Due soon","On track")))</f>
        <v>On track</v>
      </c>
      <c r="N10" s="26"/>
    </row>
    <row r="11" customFormat="false" ht="15" hidden="false" customHeight="false" outlineLevel="0" collapsed="false">
      <c r="A11" s="14" t="s">
        <v>61</v>
      </c>
      <c r="B11" s="15" t="s">
        <v>41</v>
      </c>
      <c r="C11" s="15" t="s">
        <v>62</v>
      </c>
      <c r="D11" s="15" t="n">
        <v>2</v>
      </c>
      <c r="E11" s="16" t="n">
        <v>4500</v>
      </c>
      <c r="F11" s="16" t="n">
        <v>9000</v>
      </c>
      <c r="G11" s="17" t="n">
        <v>46298</v>
      </c>
      <c r="H11" s="17" t="n">
        <v>46478</v>
      </c>
      <c r="I11" s="17" t="n">
        <v>46326</v>
      </c>
      <c r="J11" s="15" t="s">
        <v>43</v>
      </c>
      <c r="K11" s="18" t="n">
        <f aca="false">IF(OR(C11="",H11=""),"",H11-Dashboard!$C$4)</f>
        <v>170</v>
      </c>
      <c r="L11" s="19" t="str">
        <f aca="false">IF(C11="","Vacant",IF(K11&lt;0,"Expired",IF(K11&lt;=30,"Expiring soon","Active")))</f>
        <v>Active</v>
      </c>
      <c r="M11" s="19" t="str">
        <f aca="false">IF(C11="","",IF(I11&lt;Dashboard!$C$4,"Overdue",IF(I11-Dashboard!$C$4&lt;=5,"Due soon","On track")))</f>
        <v>On track</v>
      </c>
      <c r="N11" s="10" t="s">
        <v>63</v>
      </c>
    </row>
    <row r="12" customFormat="false" ht="15" hidden="false" customHeight="false" outlineLevel="0" collapsed="false">
      <c r="A12" s="20" t="s">
        <v>64</v>
      </c>
      <c r="B12" s="21" t="s">
        <v>45</v>
      </c>
      <c r="C12" s="21" t="s">
        <v>65</v>
      </c>
      <c r="D12" s="21" t="n">
        <v>1</v>
      </c>
      <c r="E12" s="22" t="n">
        <v>5000</v>
      </c>
      <c r="F12" s="22" t="n">
        <v>10000</v>
      </c>
      <c r="G12" s="23" t="n">
        <v>46328</v>
      </c>
      <c r="H12" s="23" t="n">
        <v>46508</v>
      </c>
      <c r="I12" s="23" t="n">
        <v>46330</v>
      </c>
      <c r="J12" s="21" t="s">
        <v>43</v>
      </c>
      <c r="K12" s="24" t="n">
        <f aca="false">IF(OR(C12="",H12=""),"",H12-Dashboard!$C$4)</f>
        <v>200</v>
      </c>
      <c r="L12" s="25" t="str">
        <f aca="false">IF(C12="","Vacant",IF(K12&lt;0,"Expired",IF(K12&lt;=30,"Expiring soon","Active")))</f>
        <v>Active</v>
      </c>
      <c r="M12" s="25" t="str">
        <f aca="false">IF(C12="","",IF(I12&lt;Dashboard!$C$4,"Overdue",IF(I12-Dashboard!$C$4&lt;=5,"Due soon","On track")))</f>
        <v>On track</v>
      </c>
      <c r="N12" s="26"/>
    </row>
    <row r="13" customFormat="false" ht="15" hidden="false" customHeight="false" outlineLevel="0" collapsed="false">
      <c r="A13" s="14" t="s">
        <v>66</v>
      </c>
      <c r="B13" s="15" t="s">
        <v>41</v>
      </c>
      <c r="C13" s="15" t="s">
        <v>67</v>
      </c>
      <c r="D13" s="15" t="n">
        <v>1</v>
      </c>
      <c r="E13" s="16" t="n">
        <v>5500</v>
      </c>
      <c r="F13" s="16" t="n">
        <v>11000</v>
      </c>
      <c r="G13" s="17" t="n">
        <v>46178</v>
      </c>
      <c r="H13" s="17" t="n">
        <v>46538</v>
      </c>
      <c r="I13" s="17" t="n">
        <v>46334</v>
      </c>
      <c r="J13" s="15" t="s">
        <v>43</v>
      </c>
      <c r="K13" s="18" t="n">
        <f aca="false">IF(OR(C13="",H13=""),"",H13-Dashboard!$C$4)</f>
        <v>230</v>
      </c>
      <c r="L13" s="19" t="str">
        <f aca="false">IF(C13="","Vacant",IF(K13&lt;0,"Expired",IF(K13&lt;=30,"Expiring soon","Active")))</f>
        <v>Active</v>
      </c>
      <c r="M13" s="19" t="str">
        <f aca="false">IF(C13="","",IF(I13&lt;Dashboard!$C$4,"Overdue",IF(I13-Dashboard!$C$4&lt;=5,"Due soon","On track")))</f>
        <v>On track</v>
      </c>
      <c r="N13" s="10"/>
    </row>
    <row r="14" customFormat="false" ht="15" hidden="false" customHeight="false" outlineLevel="0" collapsed="false">
      <c r="A14" s="20" t="s">
        <v>68</v>
      </c>
      <c r="B14" s="21" t="s">
        <v>45</v>
      </c>
      <c r="C14" s="21" t="s">
        <v>69</v>
      </c>
      <c r="D14" s="21" t="n">
        <v>1</v>
      </c>
      <c r="E14" s="22" t="n">
        <v>4500</v>
      </c>
      <c r="F14" s="22" t="n">
        <v>9000</v>
      </c>
      <c r="G14" s="23" t="n">
        <v>46208</v>
      </c>
      <c r="H14" s="23" t="n">
        <v>46568</v>
      </c>
      <c r="I14" s="23" t="n">
        <v>46336</v>
      </c>
      <c r="J14" s="21" t="s">
        <v>43</v>
      </c>
      <c r="K14" s="24" t="n">
        <f aca="false">IF(OR(C14="",H14=""),"",H14-Dashboard!$C$4)</f>
        <v>260</v>
      </c>
      <c r="L14" s="25" t="str">
        <f aca="false">IF(C14="","Vacant",IF(K14&lt;0,"Expired",IF(K14&lt;=30,"Expiring soon","Active")))</f>
        <v>Active</v>
      </c>
      <c r="M14" s="25" t="str">
        <f aca="false">IF(C14="","",IF(I14&lt;Dashboard!$C$4,"Overdue",IF(I14-Dashboard!$C$4&lt;=5,"Due soon","On track")))</f>
        <v>On track</v>
      </c>
      <c r="N14" s="26"/>
    </row>
    <row r="15" customFormat="false" ht="15" hidden="false" customHeight="false" outlineLevel="0" collapsed="false">
      <c r="A15" s="14" t="s">
        <v>70</v>
      </c>
      <c r="B15" s="15" t="s">
        <v>41</v>
      </c>
      <c r="C15" s="15" t="s">
        <v>71</v>
      </c>
      <c r="D15" s="15" t="n">
        <v>2</v>
      </c>
      <c r="E15" s="16" t="n">
        <v>6000</v>
      </c>
      <c r="F15" s="16" t="n">
        <v>12000</v>
      </c>
      <c r="G15" s="17" t="n">
        <v>46418</v>
      </c>
      <c r="H15" s="17" t="n">
        <v>46598</v>
      </c>
      <c r="I15" s="17" t="n">
        <v>46310</v>
      </c>
      <c r="J15" s="15" t="s">
        <v>43</v>
      </c>
      <c r="K15" s="18" t="n">
        <f aca="false">IF(OR(C15="",H15=""),"",H15-Dashboard!$C$4)</f>
        <v>290</v>
      </c>
      <c r="L15" s="19" t="str">
        <f aca="false">IF(C15="","Vacant",IF(K15&lt;0,"Expired",IF(K15&lt;=30,"Expiring soon","Active")))</f>
        <v>Active</v>
      </c>
      <c r="M15" s="19" t="str">
        <f aca="false">IF(C15="","",IF(I15&lt;Dashboard!$C$4,"Overdue",IF(I15-Dashboard!$C$4&lt;=5,"Due soon","On track")))</f>
        <v>Due soon</v>
      </c>
      <c r="N15" s="10"/>
    </row>
    <row r="16" customFormat="false" ht="15" hidden="false" customHeight="false" outlineLevel="0" collapsed="false">
      <c r="A16" s="20" t="s">
        <v>72</v>
      </c>
      <c r="B16" s="21" t="s">
        <v>45</v>
      </c>
      <c r="C16" s="21" t="s">
        <v>73</v>
      </c>
      <c r="D16" s="21" t="n">
        <v>2</v>
      </c>
      <c r="E16" s="22" t="n">
        <v>4000</v>
      </c>
      <c r="F16" s="22" t="n">
        <v>8000</v>
      </c>
      <c r="G16" s="23" t="n">
        <v>46268</v>
      </c>
      <c r="H16" s="23" t="n">
        <v>46628</v>
      </c>
      <c r="I16" s="23" t="n">
        <v>46317</v>
      </c>
      <c r="J16" s="21" t="s">
        <v>43</v>
      </c>
      <c r="K16" s="24" t="n">
        <f aca="false">IF(OR(C16="",H16=""),"",H16-Dashboard!$C$4)</f>
        <v>320</v>
      </c>
      <c r="L16" s="25" t="str">
        <f aca="false">IF(C16="","Vacant",IF(K16&lt;0,"Expired",IF(K16&lt;=30,"Expiring soon","Active")))</f>
        <v>Active</v>
      </c>
      <c r="M16" s="25" t="str">
        <f aca="false">IF(C16="","",IF(I16&lt;Dashboard!$C$4,"Overdue",IF(I16-Dashboard!$C$4&lt;=5,"Due soon","On track")))</f>
        <v>On track</v>
      </c>
      <c r="N16" s="26" t="s">
        <v>74</v>
      </c>
    </row>
    <row r="17" customFormat="false" ht="15" hidden="false" customHeight="false" outlineLevel="0" collapsed="false">
      <c r="A17" s="14" t="s">
        <v>75</v>
      </c>
      <c r="B17" s="15" t="s">
        <v>41</v>
      </c>
      <c r="C17" s="15" t="s">
        <v>76</v>
      </c>
      <c r="D17" s="15" t="n">
        <v>2</v>
      </c>
      <c r="E17" s="16" t="n">
        <v>8000</v>
      </c>
      <c r="F17" s="16" t="n">
        <v>16000</v>
      </c>
      <c r="G17" s="17" t="n">
        <v>46298</v>
      </c>
      <c r="H17" s="17" t="n">
        <v>46658</v>
      </c>
      <c r="I17" s="17" t="n">
        <v>46322</v>
      </c>
      <c r="J17" s="15" t="s">
        <v>43</v>
      </c>
      <c r="K17" s="18" t="n">
        <f aca="false">IF(OR(C17="",H17=""),"",H17-Dashboard!$C$4)</f>
        <v>350</v>
      </c>
      <c r="L17" s="19" t="str">
        <f aca="false">IF(C17="","Vacant",IF(K17&lt;0,"Expired",IF(K17&lt;=30,"Expiring soon","Active")))</f>
        <v>Active</v>
      </c>
      <c r="M17" s="19" t="str">
        <f aca="false">IF(C17="","",IF(I17&lt;Dashboard!$C$4,"Overdue",IF(I17-Dashboard!$C$4&lt;=5,"Due soon","On track")))</f>
        <v>On track</v>
      </c>
      <c r="N17" s="10"/>
    </row>
    <row r="18" customFormat="false" ht="15" hidden="false" customHeight="false" outlineLevel="0" collapsed="false">
      <c r="A18" s="20" t="s">
        <v>77</v>
      </c>
      <c r="B18" s="21" t="s">
        <v>45</v>
      </c>
      <c r="C18" s="21"/>
      <c r="D18" s="21"/>
      <c r="E18" s="22"/>
      <c r="F18" s="22"/>
      <c r="G18" s="23"/>
      <c r="H18" s="23"/>
      <c r="I18" s="23"/>
      <c r="J18" s="21" t="s">
        <v>78</v>
      </c>
      <c r="K18" s="24" t="str">
        <f aca="false">IF(OR(C18="",H18=""),"",H18-Dashboard!$C$4)</f>
        <v/>
      </c>
      <c r="L18" s="25" t="str">
        <f aca="false">IF(C18="","Vacant",IF(K18&lt;0,"Expired",IF(K18&lt;=30,"Expiring soon","Active")))</f>
        <v>Vacant</v>
      </c>
      <c r="M18" s="25" t="str">
        <f aca="false">IF(C18="","",IF(I18&lt;Dashboard!$C$4,"Overdue",IF(I18-Dashboard!$C$4&lt;=5,"Due soon","On track")))</f>
        <v/>
      </c>
      <c r="N18" s="26"/>
    </row>
    <row r="19" customFormat="false" ht="15" hidden="false" customHeight="false" outlineLevel="0" collapsed="false">
      <c r="A19" s="14" t="s">
        <v>79</v>
      </c>
      <c r="B19" s="15" t="s">
        <v>41</v>
      </c>
      <c r="C19" s="15" t="s">
        <v>80</v>
      </c>
      <c r="D19" s="15" t="n">
        <v>1</v>
      </c>
      <c r="E19" s="16" t="n">
        <v>8000</v>
      </c>
      <c r="F19" s="16" t="n">
        <v>16000</v>
      </c>
      <c r="G19" s="17" t="n">
        <v>46328</v>
      </c>
      <c r="H19" s="17" t="n">
        <v>46688</v>
      </c>
      <c r="I19" s="17" t="n">
        <v>46332</v>
      </c>
      <c r="J19" s="15" t="s">
        <v>43</v>
      </c>
      <c r="K19" s="18" t="n">
        <f aca="false">IF(OR(C19="",H19=""),"",H19-Dashboard!$C$4)</f>
        <v>380</v>
      </c>
      <c r="L19" s="19" t="str">
        <f aca="false">IF(C19="","Vacant",IF(K19&lt;0,"Expired",IF(K19&lt;=30,"Expiring soon","Active")))</f>
        <v>Active</v>
      </c>
      <c r="M19" s="19" t="str">
        <f aca="false">IF(C19="","",IF(I19&lt;Dashboard!$C$4,"Overdue",IF(I19-Dashboard!$C$4&lt;=5,"Due soon","On track")))</f>
        <v>On track</v>
      </c>
      <c r="N19" s="10"/>
    </row>
    <row r="20" customFormat="false" ht="15" hidden="false" customHeight="false" outlineLevel="0" collapsed="false">
      <c r="A20" s="20" t="s">
        <v>81</v>
      </c>
      <c r="B20" s="21" t="s">
        <v>45</v>
      </c>
      <c r="C20" s="21" t="s">
        <v>82</v>
      </c>
      <c r="D20" s="21" t="n">
        <v>2</v>
      </c>
      <c r="E20" s="22" t="n">
        <v>3500</v>
      </c>
      <c r="F20" s="22" t="n">
        <v>7000</v>
      </c>
      <c r="G20" s="23" t="n">
        <v>46248</v>
      </c>
      <c r="H20" s="23" t="n">
        <v>46608</v>
      </c>
      <c r="I20" s="23" t="n">
        <v>46314</v>
      </c>
      <c r="J20" s="21" t="s">
        <v>83</v>
      </c>
      <c r="K20" s="24" t="n">
        <f aca="false">IF(OR(C20="",H20=""),"",H20-Dashboard!$C$4)</f>
        <v>300</v>
      </c>
      <c r="L20" s="25" t="str">
        <f aca="false">IF(C20="","Vacant",IF(K20&lt;0,"Expired",IF(K20&lt;=30,"Expiring soon","Active")))</f>
        <v>Active</v>
      </c>
      <c r="M20" s="25" t="str">
        <f aca="false">IF(C20="","",IF(I20&lt;Dashboard!$C$4,"Overdue",IF(I20-Dashboard!$C$4&lt;=5,"Due soon","On track")))</f>
        <v>On track</v>
      </c>
      <c r="N20" s="26"/>
    </row>
  </sheetData>
  <autoFilter ref="A2:N20"/>
  <mergeCells count="1">
    <mergeCell ref="A1:N1"/>
  </mergeCells>
  <conditionalFormatting sqref="L3:L80">
    <cfRule type="cellIs" priority="2" operator="equal" aboveAverage="0" equalAverage="0" bottom="0" percent="0" rank="0" text="" dxfId="10">
      <formula>"Expired"</formula>
    </cfRule>
    <cfRule type="cellIs" priority="3" operator="equal" aboveAverage="0" equalAverage="0" bottom="0" percent="0" rank="0" text="" dxfId="11">
      <formula>"Expiring soon"</formula>
    </cfRule>
  </conditionalFormatting>
  <conditionalFormatting sqref="M3:M80">
    <cfRule type="cellIs" priority="4" operator="equal" aboveAverage="0" equalAverage="0" bottom="0" percent="0" rank="0" text="" dxfId="10">
      <formula>"Overdue"</formula>
    </cfRule>
    <cfRule type="cellIs" priority="5" operator="equal" aboveAverage="0" equalAverage="0" bottom="0" percent="0" rank="0" text="" dxfId="12">
      <formula>"Due soon"</formula>
    </cfRule>
  </conditionalFormatting>
  <dataValidations count="1">
    <dataValidation allowBlank="true" errorStyle="stop" operator="between" showDropDown="false" showErrorMessage="false" showInputMessage="false" sqref="J3:J80" type="list">
      <formula1>"Done,Pending,N/A"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58"/>
    <col collapsed="false" customWidth="true" hidden="false" outlineLevel="0" max="4" min="4" style="0" width="12"/>
    <col collapsed="false" customWidth="true" hidden="false" outlineLevel="0" max="5" min="5" style="0" width="34"/>
  </cols>
  <sheetData>
    <row r="2" customFormat="false" ht="22.05" hidden="false" customHeight="false" outlineLevel="0" collapsed="false">
      <c r="B2" s="27" t="s">
        <v>84</v>
      </c>
    </row>
    <row r="3" customFormat="false" ht="15" hidden="false" customHeight="false" outlineLevel="0" collapsed="false">
      <c r="B3" s="2" t="s">
        <v>85</v>
      </c>
    </row>
    <row r="5" customFormat="false" ht="15" hidden="false" customHeight="false" outlineLevel="0" collapsed="false">
      <c r="B5" s="9" t="s">
        <v>86</v>
      </c>
      <c r="C5" s="9" t="s">
        <v>87</v>
      </c>
      <c r="D5" s="9" t="s">
        <v>88</v>
      </c>
      <c r="E5" s="9" t="s">
        <v>39</v>
      </c>
    </row>
    <row r="6" customFormat="false" ht="15" hidden="false" customHeight="false" outlineLevel="0" collapsed="false">
      <c r="B6" s="28" t="s">
        <v>89</v>
      </c>
      <c r="C6" s="29" t="s">
        <v>90</v>
      </c>
      <c r="D6" s="30"/>
      <c r="E6" s="29"/>
    </row>
    <row r="7" customFormat="false" ht="15" hidden="false" customHeight="false" outlineLevel="0" collapsed="false">
      <c r="B7" s="28" t="s">
        <v>89</v>
      </c>
      <c r="C7" s="29" t="s">
        <v>91</v>
      </c>
      <c r="D7" s="30"/>
      <c r="E7" s="29"/>
    </row>
    <row r="8" customFormat="false" ht="15" hidden="false" customHeight="false" outlineLevel="0" collapsed="false">
      <c r="B8" s="28" t="s">
        <v>89</v>
      </c>
      <c r="C8" s="29" t="s">
        <v>92</v>
      </c>
      <c r="D8" s="30"/>
      <c r="E8" s="29"/>
    </row>
    <row r="9" customFormat="false" ht="15" hidden="false" customHeight="false" outlineLevel="0" collapsed="false">
      <c r="B9" s="28" t="s">
        <v>89</v>
      </c>
      <c r="C9" s="29" t="s">
        <v>93</v>
      </c>
      <c r="D9" s="30"/>
      <c r="E9" s="29"/>
    </row>
    <row r="10" customFormat="false" ht="15" hidden="false" customHeight="false" outlineLevel="0" collapsed="false">
      <c r="B10" s="31" t="s">
        <v>94</v>
      </c>
      <c r="C10" s="32" t="s">
        <v>95</v>
      </c>
      <c r="D10" s="33"/>
      <c r="E10" s="32"/>
    </row>
    <row r="11" customFormat="false" ht="15" hidden="false" customHeight="false" outlineLevel="0" collapsed="false">
      <c r="B11" s="31" t="s">
        <v>94</v>
      </c>
      <c r="C11" s="32" t="s">
        <v>96</v>
      </c>
      <c r="D11" s="33"/>
      <c r="E11" s="32"/>
    </row>
    <row r="12" customFormat="false" ht="15" hidden="false" customHeight="false" outlineLevel="0" collapsed="false">
      <c r="B12" s="31" t="s">
        <v>94</v>
      </c>
      <c r="C12" s="32" t="s">
        <v>97</v>
      </c>
      <c r="D12" s="33"/>
      <c r="E12" s="32"/>
    </row>
    <row r="13" customFormat="false" ht="15" hidden="false" customHeight="false" outlineLevel="0" collapsed="false">
      <c r="B13" s="31" t="s">
        <v>94</v>
      </c>
      <c r="C13" s="32" t="s">
        <v>98</v>
      </c>
      <c r="D13" s="33"/>
      <c r="E13" s="32"/>
    </row>
    <row r="14" customFormat="false" ht="15" hidden="false" customHeight="false" outlineLevel="0" collapsed="false">
      <c r="B14" s="28" t="s">
        <v>99</v>
      </c>
      <c r="C14" s="29" t="s">
        <v>100</v>
      </c>
      <c r="D14" s="30"/>
      <c r="E14" s="29"/>
    </row>
    <row r="15" customFormat="false" ht="15" hidden="false" customHeight="false" outlineLevel="0" collapsed="false">
      <c r="B15" s="28" t="s">
        <v>99</v>
      </c>
      <c r="C15" s="29" t="s">
        <v>101</v>
      </c>
      <c r="D15" s="30"/>
      <c r="E15" s="29"/>
    </row>
    <row r="16" customFormat="false" ht="15" hidden="false" customHeight="false" outlineLevel="0" collapsed="false">
      <c r="B16" s="28" t="s">
        <v>99</v>
      </c>
      <c r="C16" s="29" t="s">
        <v>102</v>
      </c>
      <c r="D16" s="30"/>
      <c r="E16" s="29"/>
    </row>
    <row r="17" customFormat="false" ht="15" hidden="false" customHeight="false" outlineLevel="0" collapsed="false">
      <c r="B17" s="28" t="s">
        <v>99</v>
      </c>
      <c r="C17" s="29" t="s">
        <v>103</v>
      </c>
      <c r="D17" s="30"/>
      <c r="E17" s="29"/>
    </row>
  </sheetData>
  <dataValidations count="1">
    <dataValidation allowBlank="true" errorStyle="stop" operator="between" showDropDown="false" showErrorMessage="false" showInputMessage="false" sqref="D6:D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651F"/>
    <pageSetUpPr fitToPage="fals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2"/>
  </cols>
  <sheetData>
    <row r="2" customFormat="false" ht="22.05" hidden="false" customHeight="false" outlineLevel="0" collapsed="false">
      <c r="B2" s="27" t="s">
        <v>104</v>
      </c>
    </row>
    <row r="3" customFormat="false" ht="15" hidden="false" customHeight="false" outlineLevel="0" collapsed="false">
      <c r="B3" s="2" t="s">
        <v>105</v>
      </c>
    </row>
    <row r="5" customFormat="false" ht="33.75" hidden="false" customHeight="true" outlineLevel="0" collapsed="false">
      <c r="B5" s="34" t="s">
        <v>106</v>
      </c>
      <c r="C5" s="35" t="s">
        <v>107</v>
      </c>
    </row>
    <row r="6" customFormat="false" ht="33.75" hidden="false" customHeight="true" outlineLevel="0" collapsed="false">
      <c r="B6" s="36" t="s">
        <v>108</v>
      </c>
      <c r="C6" s="37" t="s">
        <v>109</v>
      </c>
    </row>
    <row r="7" customFormat="false" ht="33.75" hidden="false" customHeight="true" outlineLevel="0" collapsed="false">
      <c r="B7" s="34" t="s">
        <v>110</v>
      </c>
      <c r="C7" s="35" t="s">
        <v>111</v>
      </c>
    </row>
    <row r="8" customFormat="false" ht="33.75" hidden="false" customHeight="true" outlineLevel="0" collapsed="false">
      <c r="B8" s="34" t="s">
        <v>112</v>
      </c>
      <c r="C8" s="35" t="s">
        <v>113</v>
      </c>
    </row>
    <row r="9" customFormat="false" ht="33.75" hidden="false" customHeight="true" outlineLevel="0" collapsed="false">
      <c r="B9" s="34" t="s">
        <v>114</v>
      </c>
      <c r="C9" s="35" t="s">
        <v>115</v>
      </c>
    </row>
    <row r="10" customFormat="false" ht="33.75" hidden="false" customHeight="true" outlineLevel="0" collapsed="false">
      <c r="B10" s="34" t="s">
        <v>116</v>
      </c>
      <c r="C10" s="35" t="s">
        <v>117</v>
      </c>
    </row>
    <row r="11" customFormat="false" ht="33.75" hidden="false" customHeight="true" outlineLevel="0" collapsed="false">
      <c r="B11" s="34" t="s">
        <v>118</v>
      </c>
      <c r="C11" s="35" t="s">
        <v>119</v>
      </c>
    </row>
    <row r="12" customFormat="false" ht="33.75" hidden="false" customHeight="true" outlineLevel="0" collapsed="false">
      <c r="B12" s="34" t="s">
        <v>120</v>
      </c>
      <c r="C12" s="35" t="s">
        <v>121</v>
      </c>
    </row>
    <row r="13" customFormat="false" ht="19.5" hidden="false" customHeight="true" outlineLevel="0" collapsed="false">
      <c r="B13" s="34" t="s">
        <v>122</v>
      </c>
      <c r="C13" s="35" t="s">
        <v>123</v>
      </c>
    </row>
    <row r="15" customFormat="false" ht="15" hidden="false" customHeight="false" outlineLevel="0" collapsed="false">
      <c r="B15" s="38" t="s">
        <v>124</v>
      </c>
    </row>
    <row r="16" customFormat="false" ht="15" hidden="false" customHeight="false" outlineLevel="0" collapsed="false">
      <c r="B16" s="39" t="s">
        <v>125</v>
      </c>
      <c r="C16" s="40" t="s">
        <v>126</v>
      </c>
    </row>
    <row r="17" customFormat="false" ht="15" hidden="false" customHeight="false" outlineLevel="0" collapsed="false">
      <c r="B17" s="40" t="s">
        <v>127</v>
      </c>
      <c r="C17" s="40" t="s">
        <v>128</v>
      </c>
    </row>
    <row r="18" customFormat="false" ht="15" hidden="false" customHeight="false" outlineLevel="0" collapsed="false">
      <c r="B18" s="41" t="s">
        <v>129</v>
      </c>
      <c r="C18" s="4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2026-10-13T10:07:57Z</dcterms:created>
  <dc:creator>openpyxl</dc:creator>
  <dc:description/>
  <dc:language>en-US</dc:language>
  <cp:lastModifiedBy/>
  <dcterms:modified xsi:type="dcterms:W3CDTF">2026-10-13T10:08:05Z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