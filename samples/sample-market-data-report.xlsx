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stings" sheetId="2" state="visible" r:id="rId4"/>
    <sheet name="Read Me" sheetId="3" state="visible" r:id="rId5"/>
  </sheets>
  <definedNames>
    <definedName function="false" hidden="true" localSheetId="1" name="_xlnm._FilterDatabase" vbProcedure="false">Listings!$A$2:$N$38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<sst xmlns="http://schemas.openxmlformats.org/spreadsheetml/2006/main" count="364" uniqueCount="124">
  <si>
    <t xml:space="preserve">Market Data Report</t>
  </si>
  <si>
    <t xml:space="preserve">Rizal &amp; Cavite  |  Prepared by Andrei Rubic  |  SAMPLE WITH DUMMY DATA</t>
  </si>
  <si>
    <t xml:space="preserve">Total listings</t>
  </si>
  <si>
    <t xml:space="preserve">Verified listings</t>
  </si>
  <si>
    <t xml:space="preserve">Avg price per sqm, lots (PHP)</t>
  </si>
  <si>
    <t xml:space="preserve">Cities covered</t>
  </si>
  <si>
    <t xml:space="preserve">Key observations (auto-updating)</t>
  </si>
  <si>
    <t xml:space="preserve">City</t>
  </si>
  <si>
    <t xml:space="preserve">Province</t>
  </si>
  <si>
    <t xml:space="preserve">Listings</t>
  </si>
  <si>
    <t xml:space="preserve">Avg Lot Area (sqm)</t>
  </si>
  <si>
    <t xml:space="preserve">Avg Asking Price (PHP)</t>
  </si>
  <si>
    <t xml:space="preserve">Avg Price per sqm (PHP)</t>
  </si>
  <si>
    <t xml:space="preserve">Antipolo</t>
  </si>
  <si>
    <t xml:space="preserve">Rizal</t>
  </si>
  <si>
    <t xml:space="preserve">Cainta</t>
  </si>
  <si>
    <t xml:space="preserve">Taytay</t>
  </si>
  <si>
    <t xml:space="preserve">Rodriguez</t>
  </si>
  <si>
    <t xml:space="preserve">Dasmariñas</t>
  </si>
  <si>
    <t xml:space="preserve">Cavite</t>
  </si>
  <si>
    <t xml:space="preserve">Imus</t>
  </si>
  <si>
    <t xml:space="preserve">Bacoor</t>
  </si>
  <si>
    <t xml:space="preserve">General Trias</t>
  </si>
  <si>
    <t xml:space="preserve">Silang</t>
  </si>
  <si>
    <t xml:space="preserve">Note: price per sqm uses lots only (House &amp; Lot rows excluded). All figures are dummy data.</t>
  </si>
  <si>
    <t xml:space="preserve">SAMPLE DATA: all values below are fictional and for illustration only</t>
  </si>
  <si>
    <t xml:space="preserve">ID</t>
  </si>
  <si>
    <t xml:space="preserve">Date Gathered</t>
  </si>
  <si>
    <t xml:space="preserve">Barangay</t>
  </si>
  <si>
    <t xml:space="preserve">Property Type</t>
  </si>
  <si>
    <t xml:space="preserve">Lot Area (sqm)</t>
  </si>
  <si>
    <t xml:space="preserve">Floor Area (sqm)</t>
  </si>
  <si>
    <t xml:space="preserve">Asking Price (PHP)</t>
  </si>
  <si>
    <t xml:space="preserve">Price per sqm (PHP)</t>
  </si>
  <si>
    <t xml:space="preserve">Condition</t>
  </si>
  <si>
    <t xml:space="preserve">Source</t>
  </si>
  <si>
    <t xml:space="preserve">Status</t>
  </si>
  <si>
    <t xml:space="preserve">Notes</t>
  </si>
  <si>
    <t xml:space="preserve">L-001</t>
  </si>
  <si>
    <t xml:space="preserve">Brgy. Sample B</t>
  </si>
  <si>
    <t xml:space="preserve">Residential lot</t>
  </si>
  <si>
    <t xml:space="preserve">Cleared / titled</t>
  </si>
  <si>
    <t xml:space="preserve">Cold call - seller</t>
  </si>
  <si>
    <t xml:space="preserve">Dropped</t>
  </si>
  <si>
    <t xml:space="preserve">EXAMPLE ROW: shows the expected format. Replace with your own data.</t>
  </si>
  <si>
    <t xml:space="preserve">L-002</t>
  </si>
  <si>
    <t xml:space="preserve">Brgy. Sample F</t>
  </si>
  <si>
    <t xml:space="preserve">Raw land</t>
  </si>
  <si>
    <t xml:space="preserve">Cold call - buyer inquiry</t>
  </si>
  <si>
    <t xml:space="preserve">L-003</t>
  </si>
  <si>
    <t xml:space="preserve">Brgy. Sample D</t>
  </si>
  <si>
    <t xml:space="preserve">Verified</t>
  </si>
  <si>
    <t xml:space="preserve">L-004</t>
  </si>
  <si>
    <t xml:space="preserve">Brgy. Sample C</t>
  </si>
  <si>
    <t xml:space="preserve">Site visit</t>
  </si>
  <si>
    <t xml:space="preserve">Pending</t>
  </si>
  <si>
    <t xml:space="preserve">L-005</t>
  </si>
  <si>
    <t xml:space="preserve">House &amp; Lot</t>
  </si>
  <si>
    <t xml:space="preserve">Needs repair</t>
  </si>
  <si>
    <t xml:space="preserve">L-006</t>
  </si>
  <si>
    <t xml:space="preserve">Brgy. Sample E</t>
  </si>
  <si>
    <t xml:space="preserve">Owner referral</t>
  </si>
  <si>
    <t xml:space="preserve">Seller open to negotiation (sample note)</t>
  </si>
  <si>
    <t xml:space="preserve">L-007</t>
  </si>
  <si>
    <t xml:space="preserve">L-008</t>
  </si>
  <si>
    <t xml:space="preserve">Commercial lot</t>
  </si>
  <si>
    <t xml:space="preserve">L-009</t>
  </si>
  <si>
    <t xml:space="preserve">Brgy. Sample A</t>
  </si>
  <si>
    <t xml:space="preserve">L-010</t>
  </si>
  <si>
    <t xml:space="preserve">Online listing</t>
  </si>
  <si>
    <t xml:space="preserve">L-011</t>
  </si>
  <si>
    <t xml:space="preserve">L-012</t>
  </si>
  <si>
    <t xml:space="preserve">Title copy requested (sample note)</t>
  </si>
  <si>
    <t xml:space="preserve">L-013</t>
  </si>
  <si>
    <t xml:space="preserve">L-014</t>
  </si>
  <si>
    <t xml:space="preserve">Good</t>
  </si>
  <si>
    <t xml:space="preserve">L-015</t>
  </si>
  <si>
    <t xml:space="preserve">L-016</t>
  </si>
  <si>
    <t xml:space="preserve">L-017</t>
  </si>
  <si>
    <t xml:space="preserve">L-018</t>
  </si>
  <si>
    <t xml:space="preserve">L-019</t>
  </si>
  <si>
    <t xml:space="preserve">L-020</t>
  </si>
  <si>
    <t xml:space="preserve">L-021</t>
  </si>
  <si>
    <t xml:space="preserve">Road access needs checking (sample note)</t>
  </si>
  <si>
    <t xml:space="preserve">L-022</t>
  </si>
  <si>
    <t xml:space="preserve">L-023</t>
  </si>
  <si>
    <t xml:space="preserve">L-024</t>
  </si>
  <si>
    <t xml:space="preserve">L-025</t>
  </si>
  <si>
    <t xml:space="preserve">L-026</t>
  </si>
  <si>
    <t xml:space="preserve">L-027</t>
  </si>
  <si>
    <t xml:space="preserve">L-028</t>
  </si>
  <si>
    <t xml:space="preserve">L-029</t>
  </si>
  <si>
    <t xml:space="preserve">L-030</t>
  </si>
  <si>
    <t xml:space="preserve">L-031</t>
  </si>
  <si>
    <t xml:space="preserve">L-032</t>
  </si>
  <si>
    <t xml:space="preserve">L-033</t>
  </si>
  <si>
    <t xml:space="preserve">L-034</t>
  </si>
  <si>
    <t xml:space="preserve">L-035</t>
  </si>
  <si>
    <t xml:space="preserve">L-036</t>
  </si>
  <si>
    <t xml:space="preserve">Market Data Report: Sample Workbook</t>
  </si>
  <si>
    <t xml:space="preserve">SAMPLE with dummy data. Prepared by Andrei Rubic to show how I record and report property market data.</t>
  </si>
  <si>
    <t xml:space="preserve">Purpose</t>
  </si>
  <si>
    <t xml:space="preserve">Shows how field and call data is logged, cleaned, and summarized by city for quick review.</t>
  </si>
  <si>
    <t xml:space="preserve">IMPORTANT</t>
  </si>
  <si>
    <t xml:space="preserve">All listings, prices, barangay names, and notes are fictional and illustrative. They are NOT real market data and not from any past employer or client.</t>
  </si>
  <si>
    <t xml:space="preserve">Sheets</t>
  </si>
  <si>
    <t xml:space="preserve">Summary (auto-calculated by city + chart) | Listings (the data log) | Read Me (this page).</t>
  </si>
  <si>
    <t xml:space="preserve">What to edit</t>
  </si>
  <si>
    <t xml:space="preserve">Only the blue-text cells on the Listings sheet (rows 3 onward). Everything on Summary updates automatically.</t>
  </si>
  <si>
    <t xml:space="preserve">Auto-calculated</t>
  </si>
  <si>
    <t xml:space="preserve">Listings column J (Price per sqm) and everything on the Summary sheet are formulas. Do not type over them.</t>
  </si>
  <si>
    <t xml:space="preserve">Price per sqm</t>
  </si>
  <si>
    <t xml:space="preserve">Asking Price divided by Lot Area. Left blank for 'House &amp; Lot' rows because the price includes the house, so averages compare lots only.</t>
  </si>
  <si>
    <t xml:space="preserve">Example row</t>
  </si>
  <si>
    <t xml:space="preserve">Row 3 on Listings is an example of the expected format (see its Notes cell). Replace or delete it when using real data.</t>
  </si>
  <si>
    <t xml:space="preserve">Statuses</t>
  </si>
  <si>
    <t xml:space="preserve">Verified = details confirmed with owner/agent | Pending = awaiting confirmation | Dropped = no longer available or unreachable.</t>
  </si>
  <si>
    <t xml:space="preserve">To add rows</t>
  </si>
  <si>
    <t xml:space="preserve">Insert new rows inside the table (above the last row) so the Summary formulas include them.</t>
  </si>
  <si>
    <t xml:space="preserve">Legend</t>
  </si>
  <si>
    <t xml:space="preserve">Blue text</t>
  </si>
  <si>
    <t xml:space="preserve">Input you type or paste</t>
  </si>
  <si>
    <t xml:space="preserve">Black text</t>
  </si>
  <si>
    <t xml:space="preserve">Formula (calculated automatically)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</si>
</sst>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dd\ mmm\ 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52819"/>
      <name val="Arial"/>
      <family val="0"/>
      <charset val="1"/>
    </font>
    <font>
      <i val="true"/>
      <sz val="10"/>
      <color rgb="FFA8651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A8651F"/>
      <name val="Arial"/>
      <family val="0"/>
      <charset val="1"/>
    </font>
    <font>
      <b val="true"/>
      <sz val="12"/>
      <color rgb="FF35281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A8651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352819"/>
      <name val="Arial"/>
      <family val="0"/>
      <charset val="1"/>
    </font>
    <font>
      <b val="true"/>
      <sz val="10"/>
      <color rgb="FF352819"/>
      <name val="Arial"/>
      <family val="0"/>
      <charset val="1"/>
    </font>
    <font>
      <b val="true"/>
      <sz val="11"/>
      <color rgb="FF35281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52819"/>
        <bgColor rgb="FF333333"/>
      </patternFill>
    </fill>
    <fill>
      <patternFill patternType="solid">
        <fgColor rgb="FFEDE8CF"/>
        <bgColor rgb="FFFFF2CC"/>
      </patternFill>
    </fill>
    <fill>
      <patternFill patternType="solid">
        <fgColor rgb="FFF6F6E8"/>
        <bgColor rgb="FFFFF2CC"/>
      </patternFill>
    </fill>
    <fill>
      <patternFill patternType="solid">
        <fgColor rgb="FFFFF2CC"/>
        <bgColor rgb="FFF6F6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9BF"/>
      </left>
      <right style="thin">
        <color rgb="FFDCD9BF"/>
      </right>
      <top style="thin">
        <color rgb="FFDCD9BF"/>
      </top>
      <bottom style="thin">
        <color rgb="FFDCD9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52819"/>
          <bgColor rgb="FF000000"/>
        </patternFill>
      </fill>
    </dxf>
    <dxf>
      <fill>
        <patternFill patternType="solid">
          <fgColor rgb="FFF6F6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51F"/>
      <rgbColor rgb="FF800080"/>
      <rgbColor rgb="FF008080"/>
      <rgbColor rgb="FFDCD9BF"/>
      <rgbColor rgb="FF878787"/>
      <rgbColor rgb="FF9999FF"/>
      <rgbColor rgb="FF993366"/>
      <rgbColor rgb="FFFFF2CC"/>
      <rgbColor rgb="FFF6F6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8C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528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price per sqm by city (PHP, dummy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Summary!G12</c:f>
              <c:strCache>
                <c:ptCount val="1"/>
                <c:pt idx="0">
                  <c:v>Avg Price per sqm (PHP)</c:v>
                </c:pt>
              </c:strCache>
            </c:strRef>
          </c:tx>
          <c:spPr>
            <a:solidFill>
              <a:srgbClr val="352819"/>
            </a:solidFill>
            <a:ln w="9360">
              <a:solidFill>
                <a:srgbClr val="35281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Summary!$B$13:$B$21</c:f>
              <c:strCache>
                <c:ptCount val="9"/>
                <c:pt idx="0">
                  <c:v>Antipolo</c:v>
                </c:pt>
                <c:pt idx="1">
                  <c:v>Cainta</c:v>
                </c:pt>
                <c:pt idx="2">
                  <c:v>Taytay</c:v>
                </c:pt>
                <c:pt idx="3">
                  <c:v>Rodriguez</c:v>
                </c:pt>
                <c:pt idx="4">
                  <c:v>Dasmariñas</c:v>
                </c:pt>
                <c:pt idx="5">
                  <c:v>Imus</c:v>
                </c:pt>
                <c:pt idx="6">
                  <c:v>Bacoor</c:v>
                </c:pt>
                <c:pt idx="7">
                  <c:v>General Trias</c:v>
                </c:pt>
                <c:pt idx="8">
                  <c:v>Silang</c:v>
                </c:pt>
              </c:strCache>
            </c:strRef>
          </c:cat>
          <c:val>
            <c:numRef>
              <c:f>Summary!$G$13:$G$21</c:f>
              <c:numCache>
                <c:formatCode>#,##0</c:formatCode>
                <c:ptCount val="9"/>
                <c:pt idx="0">
                  <c:v>20494.4444444444</c:v>
                </c:pt>
                <c:pt idx="1">
                  <c:v>36800</c:v>
                </c:pt>
                <c:pt idx="2">
                  <c:v>26596.2962962963</c:v>
                </c:pt>
                <c:pt idx="3">
                  <c:v>10525</c:v>
                </c:pt>
                <c:pt idx="4">
                  <c:v>20233.3333333333</c:v>
                </c:pt>
                <c:pt idx="5">
                  <c:v>24825.9259259259</c:v>
                </c:pt>
                <c:pt idx="6">
                  <c:v>35033.3333333333</c:v>
                </c:pt>
                <c:pt idx="7">
                  <c:v>14066.6666666667</c:v>
                </c:pt>
                <c:pt idx="8">
                  <c:v>9066.66666666667</c:v>
                </c:pt>
              </c:numCache>
            </c:numRef>
          </c:val>
        </c:ser>
        <c:gapWidth val="150"/>
        <c:overlap val="0"/>
        <c:axId val="94466542"/>
        <c:axId val="87770420"/>
      </c:barChart>
      <c:catAx>
        <c:axId val="94466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70420"/>
        <c:crosses val="autoZero"/>
        <c:auto val="1"/>
        <c:lblAlgn val="ctr"/>
        <c:lblOffset val="100"/>
        <c:noMultiLvlLbl val="0"/>
      </c:catAx>
      <c:valAx>
        <c:axId val="877704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665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40680</xdr:rowOff>
    </xdr:from>
    <xdr:to>
      <xdr:col>6</xdr:col>
      <xdr:colOff>480600</xdr:colOff>
      <xdr:row>39</xdr:row>
      <xdr:rowOff>41760</xdr:rowOff>
    </xdr:to>
    <xdr:graphicFrame>
      <xdr:nvGraphicFramePr>
        <xdr:cNvPr id="0" name="Chart 1"/>
        <xdr:cNvGraphicFramePr/>
      </xdr:nvGraphicFramePr>
      <xdr:xfrm>
        <a:off x="211320" y="49910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52819"/>
    <pageSetUpPr fitToPage="true"/>
  </sheetPr>
  <dimension ref="B2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5.5" hidden="false" customHeight="true" outlineLevel="0" collapsed="false">
      <c r="B5" s="3" t="s">
        <v>2</v>
      </c>
      <c r="C5" s="3"/>
      <c r="D5" s="3" t="s">
        <v>3</v>
      </c>
      <c r="E5" s="3"/>
      <c r="F5" s="4" t="s">
        <v>4</v>
      </c>
      <c r="G5" s="4" t="s">
        <v>5</v>
      </c>
    </row>
    <row r="6" customFormat="false" ht="36" hidden="false" customHeight="true" outlineLevel="0" collapsed="false">
      <c r="B6" s="5" t="n">
        <f aca="false">COUNTA(Listings!$A$3:$A$38)</f>
        <v>36</v>
      </c>
      <c r="C6" s="5"/>
      <c r="D6" s="6" t="n">
        <f aca="false">COUNTIF(Listings!$M$3:$M$38,"Verified")/COUNTA(Listings!$A$3:$A$38)</f>
        <v>0.583333333333333</v>
      </c>
      <c r="E6" s="6"/>
      <c r="F6" s="7" t="n">
        <f aca="false">AVERAGE(Listings!$J$3:$J$38)</f>
        <v>21960.1851851852</v>
      </c>
      <c r="G6" s="7" t="n">
        <f aca="false">COUNTA(B13:B21)</f>
        <v>9</v>
      </c>
    </row>
    <row r="8" customFormat="false" ht="15" hidden="false" customHeight="false" outlineLevel="0" collapsed="false">
      <c r="B8" s="8" t="s">
        <v>6</v>
      </c>
    </row>
    <row r="9" customFormat="false" ht="15" hidden="false" customHeight="false" outlineLevel="0" collapsed="false">
      <c r="B9" s="9" t="str">
        <f aca="false">"Highest average price per sqm: "&amp;INDEX($B$13:$B$21,MATCH(MAX($G$13:$G$21),$G$13:$G$21,0))&amp;" (PHP "&amp;TEXT(MAX($G$13:$G$21),"#,##0")&amp;")"</f>
        <v>Highest average price per sqm: Cainta (PHP 36,800)</v>
      </c>
      <c r="C9" s="9"/>
      <c r="D9" s="9"/>
      <c r="E9" s="9"/>
      <c r="F9" s="9"/>
      <c r="G9" s="9"/>
    </row>
    <row r="10" customFormat="false" ht="15" hidden="false" customHeight="false" outlineLevel="0" collapsed="false">
      <c r="B10" s="9" t="str">
        <f aca="false">"Lowest average price per sqm: "&amp;INDEX($B$13:$B$21,MATCH(MIN($G$13:$G$21),$G$13:$G$21,0))&amp;" (PHP "&amp;TEXT(MIN($G$13:$G$21),"#,##0")&amp;")"</f>
        <v>Lowest average price per sqm: Silang (PHP 9,067)</v>
      </c>
      <c r="C10" s="9"/>
      <c r="D10" s="9"/>
      <c r="E10" s="9"/>
      <c r="F10" s="9"/>
      <c r="G10" s="9"/>
    </row>
    <row r="11" customFormat="false" ht="15" hidden="false" customHeight="false" outlineLevel="0" collapsed="false">
      <c r="B11" s="9" t="str">
        <f aca="false">"Verified listings: "&amp;COUNTIF(Listings!$M$3:$M$38,"Verified")&amp;" of "&amp;COUNTA(Listings!$A$3:$A$38)&amp;" ("&amp;TEXT(COUNTIF(Listings!$M$3:$M$38,"Verified")/COUNTA(Listings!$A$3:$A$38),"0%")&amp;")"</f>
        <v>Verified listings: 21 of 36 (58%)</v>
      </c>
      <c r="C11" s="9"/>
      <c r="D11" s="9"/>
      <c r="E11" s="9"/>
      <c r="F11" s="9"/>
      <c r="G11" s="9"/>
    </row>
    <row r="12" customFormat="false" ht="31.5" hidden="false" customHeight="true" outlineLevel="0" collapsed="false">
      <c r="B12" s="10" t="s">
        <v>7</v>
      </c>
      <c r="C12" s="10" t="s">
        <v>8</v>
      </c>
      <c r="D12" s="10" t="s">
        <v>9</v>
      </c>
      <c r="E12" s="10" t="s">
        <v>10</v>
      </c>
      <c r="F12" s="10" t="s">
        <v>11</v>
      </c>
      <c r="G12" s="10" t="s">
        <v>12</v>
      </c>
    </row>
    <row r="13" customFormat="false" ht="15" hidden="false" customHeight="false" outlineLevel="0" collapsed="false">
      <c r="B13" s="11" t="s">
        <v>13</v>
      </c>
      <c r="C13" s="11" t="s">
        <v>14</v>
      </c>
      <c r="D13" s="12" t="n">
        <f aca="false">COUNTIF(Listings!$C$3:$C$38,B13)</f>
        <v>4</v>
      </c>
      <c r="E13" s="12" t="n">
        <f aca="false">IFERROR(AVERAGEIFS(Listings!$G$3:$G$38,Listings!$C$3:$C$38,B13),0)</f>
        <v>277.5</v>
      </c>
      <c r="F13" s="12" t="n">
        <f aca="false">IFERROR(AVERAGEIFS(Listings!$I$3:$I$38,Listings!$C$3:$C$38,B13),0)</f>
        <v>6253750</v>
      </c>
      <c r="G13" s="12" t="n">
        <f aca="false">IFERROR(AVERAGEIFS(Listings!$J$3:$J$38,Listings!$C$3:$C$38,B13),0)</f>
        <v>20494.4444444444</v>
      </c>
    </row>
    <row r="14" customFormat="false" ht="15" hidden="false" customHeight="false" outlineLevel="0" collapsed="false">
      <c r="B14" s="13" t="s">
        <v>15</v>
      </c>
      <c r="C14" s="13" t="s">
        <v>14</v>
      </c>
      <c r="D14" s="14" t="n">
        <f aca="false">COUNTIF(Listings!$C$3:$C$38,B14)</f>
        <v>4</v>
      </c>
      <c r="E14" s="14" t="n">
        <f aca="false">IFERROR(AVERAGEIFS(Listings!$G$3:$G$38,Listings!$C$3:$C$38,B14),0)</f>
        <v>205</v>
      </c>
      <c r="F14" s="14" t="n">
        <f aca="false">IFERROR(AVERAGEIFS(Listings!$I$3:$I$38,Listings!$C$3:$C$38,B14),0)</f>
        <v>7555000</v>
      </c>
      <c r="G14" s="14" t="n">
        <f aca="false">IFERROR(AVERAGEIFS(Listings!$J$3:$J$38,Listings!$C$3:$C$38,B14),0)</f>
        <v>36800</v>
      </c>
    </row>
    <row r="15" customFormat="false" ht="15" hidden="false" customHeight="false" outlineLevel="0" collapsed="false">
      <c r="B15" s="11" t="s">
        <v>16</v>
      </c>
      <c r="C15" s="11" t="s">
        <v>14</v>
      </c>
      <c r="D15" s="12" t="n">
        <f aca="false">COUNTIF(Listings!$C$3:$C$38,B15)</f>
        <v>4</v>
      </c>
      <c r="E15" s="12" t="n">
        <f aca="false">IFERROR(AVERAGEIFS(Listings!$G$3:$G$38,Listings!$C$3:$C$38,B15),0)</f>
        <v>182.5</v>
      </c>
      <c r="F15" s="12" t="n">
        <f aca="false">IFERROR(AVERAGEIFS(Listings!$I$3:$I$38,Listings!$C$3:$C$38,B15),0)</f>
        <v>5887500</v>
      </c>
      <c r="G15" s="12" t="n">
        <f aca="false">IFERROR(AVERAGEIFS(Listings!$J$3:$J$38,Listings!$C$3:$C$38,B15),0)</f>
        <v>26596.2962962963</v>
      </c>
    </row>
    <row r="16" customFormat="false" ht="15" hidden="false" customHeight="false" outlineLevel="0" collapsed="false">
      <c r="B16" s="13" t="s">
        <v>17</v>
      </c>
      <c r="C16" s="13" t="s">
        <v>14</v>
      </c>
      <c r="D16" s="14" t="n">
        <f aca="false">COUNTIF(Listings!$C$3:$C$38,B16)</f>
        <v>4</v>
      </c>
      <c r="E16" s="14" t="n">
        <f aca="false">IFERROR(AVERAGEIFS(Listings!$G$3:$G$38,Listings!$C$3:$C$38,B16),0)</f>
        <v>230</v>
      </c>
      <c r="F16" s="14" t="n">
        <f aca="false">IFERROR(AVERAGEIFS(Listings!$I$3:$I$38,Listings!$C$3:$C$38,B16),0)</f>
        <v>2620000</v>
      </c>
      <c r="G16" s="14" t="n">
        <f aca="false">IFERROR(AVERAGEIFS(Listings!$J$3:$J$38,Listings!$C$3:$C$38,B16),0)</f>
        <v>10525</v>
      </c>
    </row>
    <row r="17" customFormat="false" ht="15" hidden="false" customHeight="false" outlineLevel="0" collapsed="false">
      <c r="B17" s="11" t="s">
        <v>18</v>
      </c>
      <c r="C17" s="11" t="s">
        <v>19</v>
      </c>
      <c r="D17" s="12" t="n">
        <f aca="false">COUNTIF(Listings!$C$3:$C$38,B17)</f>
        <v>4</v>
      </c>
      <c r="E17" s="12" t="n">
        <f aca="false">IFERROR(AVERAGEIFS(Listings!$G$3:$G$38,Listings!$C$3:$C$38,B17),0)</f>
        <v>250</v>
      </c>
      <c r="F17" s="12" t="n">
        <f aca="false">IFERROR(AVERAGEIFS(Listings!$I$3:$I$38,Listings!$C$3:$C$38,B17),0)</f>
        <v>5430000</v>
      </c>
      <c r="G17" s="12" t="n">
        <f aca="false">IFERROR(AVERAGEIFS(Listings!$J$3:$J$38,Listings!$C$3:$C$38,B17),0)</f>
        <v>20233.3333333333</v>
      </c>
    </row>
    <row r="18" customFormat="false" ht="15" hidden="false" customHeight="false" outlineLevel="0" collapsed="false">
      <c r="B18" s="13" t="s">
        <v>20</v>
      </c>
      <c r="C18" s="13" t="s">
        <v>19</v>
      </c>
      <c r="D18" s="14" t="n">
        <f aca="false">COUNTIF(Listings!$C$3:$C$38,B18)</f>
        <v>4</v>
      </c>
      <c r="E18" s="14" t="n">
        <f aca="false">IFERROR(AVERAGEIFS(Listings!$G$3:$G$38,Listings!$C$3:$C$38,B18),0)</f>
        <v>207.5</v>
      </c>
      <c r="F18" s="14" t="n">
        <f aca="false">IFERROR(AVERAGEIFS(Listings!$I$3:$I$38,Listings!$C$3:$C$38,B18),0)</f>
        <v>5377500</v>
      </c>
      <c r="G18" s="14" t="n">
        <f aca="false">IFERROR(AVERAGEIFS(Listings!$J$3:$J$38,Listings!$C$3:$C$38,B18),0)</f>
        <v>24825.9259259259</v>
      </c>
    </row>
    <row r="19" customFormat="false" ht="15" hidden="false" customHeight="false" outlineLevel="0" collapsed="false">
      <c r="B19" s="11" t="s">
        <v>21</v>
      </c>
      <c r="C19" s="11" t="s">
        <v>19</v>
      </c>
      <c r="D19" s="12" t="n">
        <f aca="false">COUNTIF(Listings!$C$3:$C$38,B19)</f>
        <v>4</v>
      </c>
      <c r="E19" s="12" t="n">
        <f aca="false">IFERROR(AVERAGEIFS(Listings!$G$3:$G$38,Listings!$C$3:$C$38,B19),0)</f>
        <v>282.5</v>
      </c>
      <c r="F19" s="12" t="n">
        <f aca="false">IFERROR(AVERAGEIFS(Listings!$I$3:$I$38,Listings!$C$3:$C$38,B19),0)</f>
        <v>10265000</v>
      </c>
      <c r="G19" s="12" t="n">
        <f aca="false">IFERROR(AVERAGEIFS(Listings!$J$3:$J$38,Listings!$C$3:$C$38,B19),0)</f>
        <v>35033.3333333333</v>
      </c>
    </row>
    <row r="20" customFormat="false" ht="15" hidden="false" customHeight="false" outlineLevel="0" collapsed="false">
      <c r="B20" s="13" t="s">
        <v>22</v>
      </c>
      <c r="C20" s="13" t="s">
        <v>19</v>
      </c>
      <c r="D20" s="14" t="n">
        <f aca="false">COUNTIF(Listings!$C$3:$C$38,B20)</f>
        <v>4</v>
      </c>
      <c r="E20" s="14" t="n">
        <f aca="false">IFERROR(AVERAGEIFS(Listings!$G$3:$G$38,Listings!$C$3:$C$38,B20),0)</f>
        <v>230</v>
      </c>
      <c r="F20" s="14" t="n">
        <f aca="false">IFERROR(AVERAGEIFS(Listings!$I$3:$I$38,Listings!$C$3:$C$38,B20),0)</f>
        <v>3682500</v>
      </c>
      <c r="G20" s="14" t="n">
        <f aca="false">IFERROR(AVERAGEIFS(Listings!$J$3:$J$38,Listings!$C$3:$C$38,B20),0)</f>
        <v>14066.6666666667</v>
      </c>
    </row>
    <row r="21" customFormat="false" ht="15" hidden="false" customHeight="false" outlineLevel="0" collapsed="false">
      <c r="B21" s="11" t="s">
        <v>23</v>
      </c>
      <c r="C21" s="11" t="s">
        <v>19</v>
      </c>
      <c r="D21" s="12" t="n">
        <f aca="false">COUNTIF(Listings!$C$3:$C$38,B21)</f>
        <v>4</v>
      </c>
      <c r="E21" s="12" t="n">
        <f aca="false">IFERROR(AVERAGEIFS(Listings!$G$3:$G$38,Listings!$C$3:$C$38,B21),0)</f>
        <v>400</v>
      </c>
      <c r="F21" s="12" t="n">
        <f aca="false">IFERROR(AVERAGEIFS(Listings!$I$3:$I$38,Listings!$C$3:$C$38,B21),0)</f>
        <v>4012500</v>
      </c>
      <c r="G21" s="12" t="n">
        <f aca="false">IFERROR(AVERAGEIFS(Listings!$J$3:$J$38,Listings!$C$3:$C$38,B21),0)</f>
        <v>9066.66666666667</v>
      </c>
    </row>
    <row r="22" customFormat="false" ht="15" hidden="false" customHeight="false" outlineLevel="0" collapsed="false">
      <c r="B22" s="15" t="s">
        <v>24</v>
      </c>
    </row>
  </sheetData>
  <mergeCells count="7">
    <mergeCell ref="B5:C5"/>
    <mergeCell ref="D5:E5"/>
    <mergeCell ref="B6:C6"/>
    <mergeCell ref="D6:E6"/>
    <mergeCell ref="B9:G9"/>
    <mergeCell ref="B10:G10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7"/>
    <col collapsed="false" customWidth="true" hidden="false" outlineLevel="0" max="8" min="7" style="0" width="12"/>
    <col collapsed="false" customWidth="true" hidden="false" outlineLevel="0" max="9" min="9" style="0" width="17"/>
    <col collapsed="false" customWidth="true" hidden="false" outlineLevel="0" max="11" min="10" style="0" width="16"/>
    <col collapsed="false" customWidth="true" hidden="false" outlineLevel="0" max="12" min="12" style="0" width="24"/>
    <col collapsed="false" customWidth="true" hidden="false" outlineLevel="0" max="13" min="13" style="0" width="11"/>
    <col collapsed="false" customWidth="true" hidden="false" outlineLevel="0" max="14" min="14" style="0" width="44"/>
  </cols>
  <sheetData>
    <row r="1" customFormat="false" ht="15" hidden="false" customHeight="fals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31.5" hidden="false" customHeight="true" outlineLevel="0" collapsed="false">
      <c r="A2" s="10" t="s">
        <v>26</v>
      </c>
      <c r="B2" s="10" t="s">
        <v>27</v>
      </c>
      <c r="C2" s="10" t="s">
        <v>7</v>
      </c>
      <c r="D2" s="10" t="s">
        <v>8</v>
      </c>
      <c r="E2" s="10" t="s">
        <v>28</v>
      </c>
      <c r="F2" s="10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 t="s">
        <v>35</v>
      </c>
      <c r="M2" s="10" t="s">
        <v>36</v>
      </c>
      <c r="N2" s="10" t="s">
        <v>37</v>
      </c>
    </row>
    <row r="3" customFormat="false" ht="15" hidden="false" customHeight="false" outlineLevel="0" collapsed="false">
      <c r="A3" s="17" t="s">
        <v>38</v>
      </c>
      <c r="B3" s="18" t="n">
        <v>46239</v>
      </c>
      <c r="C3" s="19" t="s">
        <v>17</v>
      </c>
      <c r="D3" s="19" t="s">
        <v>14</v>
      </c>
      <c r="E3" s="19" t="s">
        <v>39</v>
      </c>
      <c r="F3" s="19" t="s">
        <v>40</v>
      </c>
      <c r="G3" s="20" t="n">
        <v>150</v>
      </c>
      <c r="H3" s="20"/>
      <c r="I3" s="20" t="n">
        <v>1800000</v>
      </c>
      <c r="J3" s="21" t="n">
        <f aca="false">IF(OR(F3="House &amp; Lot",G3=0),"",I3/G3)</f>
        <v>12000</v>
      </c>
      <c r="K3" s="19" t="s">
        <v>41</v>
      </c>
      <c r="L3" s="19" t="s">
        <v>42</v>
      </c>
      <c r="M3" s="19" t="s">
        <v>43</v>
      </c>
      <c r="N3" s="19" t="s">
        <v>44</v>
      </c>
    </row>
    <row r="4" customFormat="false" ht="15" hidden="false" customHeight="false" outlineLevel="0" collapsed="false">
      <c r="A4" s="22" t="s">
        <v>45</v>
      </c>
      <c r="B4" s="23" t="n">
        <v>46241</v>
      </c>
      <c r="C4" s="24" t="s">
        <v>22</v>
      </c>
      <c r="D4" s="24" t="s">
        <v>19</v>
      </c>
      <c r="E4" s="24" t="s">
        <v>46</v>
      </c>
      <c r="F4" s="24" t="s">
        <v>40</v>
      </c>
      <c r="G4" s="25" t="n">
        <v>250</v>
      </c>
      <c r="H4" s="25"/>
      <c r="I4" s="25" t="n">
        <v>4250000</v>
      </c>
      <c r="J4" s="26" t="n">
        <f aca="false">IF(OR(F4="House &amp; Lot",G4=0),"",I4/G4)</f>
        <v>17000</v>
      </c>
      <c r="K4" s="24" t="s">
        <v>47</v>
      </c>
      <c r="L4" s="24" t="s">
        <v>48</v>
      </c>
      <c r="M4" s="24" t="s">
        <v>43</v>
      </c>
      <c r="N4" s="24"/>
    </row>
    <row r="5" customFormat="false" ht="15" hidden="false" customHeight="false" outlineLevel="0" collapsed="false">
      <c r="A5" s="17" t="s">
        <v>49</v>
      </c>
      <c r="B5" s="18" t="n">
        <v>46242</v>
      </c>
      <c r="C5" s="19" t="s">
        <v>20</v>
      </c>
      <c r="D5" s="19" t="s">
        <v>19</v>
      </c>
      <c r="E5" s="19" t="s">
        <v>50</v>
      </c>
      <c r="F5" s="19" t="s">
        <v>40</v>
      </c>
      <c r="G5" s="20" t="n">
        <v>300</v>
      </c>
      <c r="H5" s="20"/>
      <c r="I5" s="20" t="n">
        <v>7110000</v>
      </c>
      <c r="J5" s="21" t="n">
        <f aca="false">IF(OR(F5="House &amp; Lot",G5=0),"",I5/G5)</f>
        <v>23700</v>
      </c>
      <c r="K5" s="19" t="s">
        <v>47</v>
      </c>
      <c r="L5" s="19" t="s">
        <v>48</v>
      </c>
      <c r="M5" s="19" t="s">
        <v>51</v>
      </c>
      <c r="N5" s="19"/>
    </row>
    <row r="6" customFormat="false" ht="15" hidden="false" customHeight="false" outlineLevel="0" collapsed="false">
      <c r="A6" s="22" t="s">
        <v>52</v>
      </c>
      <c r="B6" s="23" t="n">
        <v>46243</v>
      </c>
      <c r="C6" s="24" t="s">
        <v>23</v>
      </c>
      <c r="D6" s="24" t="s">
        <v>19</v>
      </c>
      <c r="E6" s="24" t="s">
        <v>53</v>
      </c>
      <c r="F6" s="24" t="s">
        <v>40</v>
      </c>
      <c r="G6" s="25" t="n">
        <v>200</v>
      </c>
      <c r="H6" s="25"/>
      <c r="I6" s="25" t="n">
        <v>1340000</v>
      </c>
      <c r="J6" s="26" t="n">
        <f aca="false">IF(OR(F6="House &amp; Lot",G6=0),"",I6/G6)</f>
        <v>6700</v>
      </c>
      <c r="K6" s="24" t="s">
        <v>47</v>
      </c>
      <c r="L6" s="24" t="s">
        <v>54</v>
      </c>
      <c r="M6" s="24" t="s">
        <v>55</v>
      </c>
      <c r="N6" s="24"/>
    </row>
    <row r="7" customFormat="false" ht="15" hidden="false" customHeight="false" outlineLevel="0" collapsed="false">
      <c r="A7" s="17" t="s">
        <v>56</v>
      </c>
      <c r="B7" s="18" t="n">
        <v>46244</v>
      </c>
      <c r="C7" s="19" t="s">
        <v>13</v>
      </c>
      <c r="D7" s="19" t="s">
        <v>14</v>
      </c>
      <c r="E7" s="19" t="s">
        <v>50</v>
      </c>
      <c r="F7" s="19" t="s">
        <v>57</v>
      </c>
      <c r="G7" s="20" t="n">
        <v>180</v>
      </c>
      <c r="H7" s="20" t="n">
        <v>120</v>
      </c>
      <c r="I7" s="20" t="n">
        <v>5890000</v>
      </c>
      <c r="J7" s="21" t="str">
        <f aca="false">IF(OR(F7="House &amp; Lot",G7=0),"",I7/G7)</f>
        <v/>
      </c>
      <c r="K7" s="19" t="s">
        <v>58</v>
      </c>
      <c r="L7" s="19" t="s">
        <v>48</v>
      </c>
      <c r="M7" s="19" t="s">
        <v>43</v>
      </c>
      <c r="N7" s="19"/>
    </row>
    <row r="8" customFormat="false" ht="15" hidden="false" customHeight="false" outlineLevel="0" collapsed="false">
      <c r="A8" s="22" t="s">
        <v>59</v>
      </c>
      <c r="B8" s="23" t="n">
        <v>46246</v>
      </c>
      <c r="C8" s="24" t="s">
        <v>22</v>
      </c>
      <c r="D8" s="24" t="s">
        <v>19</v>
      </c>
      <c r="E8" s="24" t="s">
        <v>60</v>
      </c>
      <c r="F8" s="24" t="s">
        <v>40</v>
      </c>
      <c r="G8" s="25" t="n">
        <v>120</v>
      </c>
      <c r="H8" s="25"/>
      <c r="I8" s="25" t="n">
        <v>1440000</v>
      </c>
      <c r="J8" s="26" t="n">
        <f aca="false">IF(OR(F8="House &amp; Lot",G8=0),"",I8/G8)</f>
        <v>12000</v>
      </c>
      <c r="K8" s="24" t="s">
        <v>41</v>
      </c>
      <c r="L8" s="24" t="s">
        <v>61</v>
      </c>
      <c r="M8" s="24" t="s">
        <v>51</v>
      </c>
      <c r="N8" s="24" t="s">
        <v>62</v>
      </c>
    </row>
    <row r="9" customFormat="false" ht="15" hidden="false" customHeight="false" outlineLevel="0" collapsed="false">
      <c r="A9" s="17" t="s">
        <v>63</v>
      </c>
      <c r="B9" s="18" t="n">
        <v>46247</v>
      </c>
      <c r="C9" s="19" t="s">
        <v>18</v>
      </c>
      <c r="D9" s="19" t="s">
        <v>19</v>
      </c>
      <c r="E9" s="19" t="s">
        <v>46</v>
      </c>
      <c r="F9" s="19" t="s">
        <v>40</v>
      </c>
      <c r="G9" s="20" t="n">
        <v>100</v>
      </c>
      <c r="H9" s="20"/>
      <c r="I9" s="20" t="n">
        <v>2250000</v>
      </c>
      <c r="J9" s="21" t="n">
        <f aca="false">IF(OR(F9="House &amp; Lot",G9=0),"",I9/G9)</f>
        <v>22500</v>
      </c>
      <c r="K9" s="19" t="s">
        <v>41</v>
      </c>
      <c r="L9" s="19" t="s">
        <v>61</v>
      </c>
      <c r="M9" s="19" t="s">
        <v>51</v>
      </c>
      <c r="N9" s="19"/>
    </row>
    <row r="10" customFormat="false" ht="15" hidden="false" customHeight="false" outlineLevel="0" collapsed="false">
      <c r="A10" s="22" t="s">
        <v>64</v>
      </c>
      <c r="B10" s="23" t="n">
        <v>46252</v>
      </c>
      <c r="C10" s="24" t="s">
        <v>16</v>
      </c>
      <c r="D10" s="24" t="s">
        <v>14</v>
      </c>
      <c r="E10" s="24" t="s">
        <v>60</v>
      </c>
      <c r="F10" s="24" t="s">
        <v>65</v>
      </c>
      <c r="G10" s="25" t="n">
        <v>180</v>
      </c>
      <c r="H10" s="25"/>
      <c r="I10" s="25" t="n">
        <v>4480000</v>
      </c>
      <c r="J10" s="26" t="n">
        <f aca="false">IF(OR(F10="House &amp; Lot",G10=0),"",I10/G10)</f>
        <v>24888.8888888889</v>
      </c>
      <c r="K10" s="24" t="s">
        <v>41</v>
      </c>
      <c r="L10" s="24" t="s">
        <v>42</v>
      </c>
      <c r="M10" s="24" t="s">
        <v>43</v>
      </c>
      <c r="N10" s="24"/>
    </row>
    <row r="11" customFormat="false" ht="15" hidden="false" customHeight="false" outlineLevel="0" collapsed="false">
      <c r="A11" s="17" t="s">
        <v>66</v>
      </c>
      <c r="B11" s="18" t="n">
        <v>46253</v>
      </c>
      <c r="C11" s="19" t="s">
        <v>22</v>
      </c>
      <c r="D11" s="19" t="s">
        <v>19</v>
      </c>
      <c r="E11" s="19" t="s">
        <v>67</v>
      </c>
      <c r="F11" s="19" t="s">
        <v>65</v>
      </c>
      <c r="G11" s="20" t="n">
        <v>300</v>
      </c>
      <c r="H11" s="20"/>
      <c r="I11" s="20" t="n">
        <v>3960000</v>
      </c>
      <c r="J11" s="21" t="n">
        <f aca="false">IF(OR(F11="House &amp; Lot",G11=0),"",I11/G11)</f>
        <v>13200</v>
      </c>
      <c r="K11" s="19" t="s">
        <v>41</v>
      </c>
      <c r="L11" s="19" t="s">
        <v>54</v>
      </c>
      <c r="M11" s="19" t="s">
        <v>43</v>
      </c>
      <c r="N11" s="19"/>
    </row>
    <row r="12" customFormat="false" ht="15" hidden="false" customHeight="false" outlineLevel="0" collapsed="false">
      <c r="A12" s="22" t="s">
        <v>68</v>
      </c>
      <c r="B12" s="23" t="n">
        <v>46254</v>
      </c>
      <c r="C12" s="24" t="s">
        <v>20</v>
      </c>
      <c r="D12" s="24" t="s">
        <v>19</v>
      </c>
      <c r="E12" s="24" t="s">
        <v>53</v>
      </c>
      <c r="F12" s="24" t="s">
        <v>40</v>
      </c>
      <c r="G12" s="25" t="n">
        <v>150</v>
      </c>
      <c r="H12" s="25"/>
      <c r="I12" s="25" t="n">
        <v>4050000</v>
      </c>
      <c r="J12" s="26" t="n">
        <f aca="false">IF(OR(F12="House &amp; Lot",G12=0),"",I12/G12)</f>
        <v>27000</v>
      </c>
      <c r="K12" s="24" t="s">
        <v>41</v>
      </c>
      <c r="L12" s="24" t="s">
        <v>69</v>
      </c>
      <c r="M12" s="24" t="s">
        <v>55</v>
      </c>
      <c r="N12" s="24"/>
    </row>
    <row r="13" customFormat="false" ht="15" hidden="false" customHeight="false" outlineLevel="0" collapsed="false">
      <c r="A13" s="17" t="s">
        <v>70</v>
      </c>
      <c r="B13" s="18" t="n">
        <v>46255</v>
      </c>
      <c r="C13" s="19" t="s">
        <v>15</v>
      </c>
      <c r="D13" s="19" t="s">
        <v>14</v>
      </c>
      <c r="E13" s="19" t="s">
        <v>46</v>
      </c>
      <c r="F13" s="19" t="s">
        <v>40</v>
      </c>
      <c r="G13" s="20" t="n">
        <v>100</v>
      </c>
      <c r="H13" s="20"/>
      <c r="I13" s="20" t="n">
        <v>3910000</v>
      </c>
      <c r="J13" s="21" t="n">
        <f aca="false">IF(OR(F13="House &amp; Lot",G13=0),"",I13/G13)</f>
        <v>39100</v>
      </c>
      <c r="K13" s="19" t="s">
        <v>47</v>
      </c>
      <c r="L13" s="19" t="s">
        <v>69</v>
      </c>
      <c r="M13" s="19" t="s">
        <v>51</v>
      </c>
      <c r="N13" s="19"/>
    </row>
    <row r="14" customFormat="false" ht="15" hidden="false" customHeight="false" outlineLevel="0" collapsed="false">
      <c r="A14" s="22" t="s">
        <v>71</v>
      </c>
      <c r="B14" s="23" t="n">
        <v>46255</v>
      </c>
      <c r="C14" s="24" t="s">
        <v>18</v>
      </c>
      <c r="D14" s="24" t="s">
        <v>19</v>
      </c>
      <c r="E14" s="24" t="s">
        <v>67</v>
      </c>
      <c r="F14" s="24" t="s">
        <v>65</v>
      </c>
      <c r="G14" s="25" t="n">
        <v>400</v>
      </c>
      <c r="H14" s="25"/>
      <c r="I14" s="25" t="n">
        <v>6360000</v>
      </c>
      <c r="J14" s="26" t="n">
        <f aca="false">IF(OR(F14="House &amp; Lot",G14=0),"",I14/G14)</f>
        <v>15900</v>
      </c>
      <c r="K14" s="24" t="s">
        <v>47</v>
      </c>
      <c r="L14" s="24" t="s">
        <v>48</v>
      </c>
      <c r="M14" s="24" t="s">
        <v>51</v>
      </c>
      <c r="N14" s="24" t="s">
        <v>72</v>
      </c>
    </row>
    <row r="15" customFormat="false" ht="15" hidden="false" customHeight="false" outlineLevel="0" collapsed="false">
      <c r="A15" s="17" t="s">
        <v>73</v>
      </c>
      <c r="B15" s="18" t="n">
        <v>46256</v>
      </c>
      <c r="C15" s="19" t="s">
        <v>15</v>
      </c>
      <c r="D15" s="19" t="s">
        <v>14</v>
      </c>
      <c r="E15" s="19" t="s">
        <v>67</v>
      </c>
      <c r="F15" s="19" t="s">
        <v>65</v>
      </c>
      <c r="G15" s="20" t="n">
        <v>500</v>
      </c>
      <c r="H15" s="20"/>
      <c r="I15" s="20" t="n">
        <v>15950000</v>
      </c>
      <c r="J15" s="21" t="n">
        <f aca="false">IF(OR(F15="House &amp; Lot",G15=0),"",I15/G15)</f>
        <v>31900</v>
      </c>
      <c r="K15" s="19" t="s">
        <v>41</v>
      </c>
      <c r="L15" s="19" t="s">
        <v>61</v>
      </c>
      <c r="M15" s="19" t="s">
        <v>51</v>
      </c>
      <c r="N15" s="19"/>
    </row>
    <row r="16" customFormat="false" ht="15" hidden="false" customHeight="false" outlineLevel="0" collapsed="false">
      <c r="A16" s="22" t="s">
        <v>74</v>
      </c>
      <c r="B16" s="23" t="n">
        <v>46258</v>
      </c>
      <c r="C16" s="24" t="s">
        <v>21</v>
      </c>
      <c r="D16" s="24" t="s">
        <v>19</v>
      </c>
      <c r="E16" s="24" t="s">
        <v>50</v>
      </c>
      <c r="F16" s="24" t="s">
        <v>57</v>
      </c>
      <c r="G16" s="25" t="n">
        <v>180</v>
      </c>
      <c r="H16" s="25" t="n">
        <v>80</v>
      </c>
      <c r="I16" s="25" t="n">
        <v>6960000</v>
      </c>
      <c r="J16" s="26" t="str">
        <f aca="false">IF(OR(F16="House &amp; Lot",G16=0),"",I16/G16)</f>
        <v/>
      </c>
      <c r="K16" s="24" t="s">
        <v>75</v>
      </c>
      <c r="L16" s="24" t="s">
        <v>61</v>
      </c>
      <c r="M16" s="24" t="s">
        <v>51</v>
      </c>
      <c r="N16" s="24"/>
    </row>
    <row r="17" customFormat="false" ht="15" hidden="false" customHeight="false" outlineLevel="0" collapsed="false">
      <c r="A17" s="17" t="s">
        <v>76</v>
      </c>
      <c r="B17" s="18" t="n">
        <v>46259</v>
      </c>
      <c r="C17" s="19" t="s">
        <v>17</v>
      </c>
      <c r="D17" s="19" t="s">
        <v>14</v>
      </c>
      <c r="E17" s="19" t="s">
        <v>53</v>
      </c>
      <c r="F17" s="19" t="s">
        <v>65</v>
      </c>
      <c r="G17" s="20" t="n">
        <v>250</v>
      </c>
      <c r="H17" s="20"/>
      <c r="I17" s="20" t="n">
        <v>2675000</v>
      </c>
      <c r="J17" s="21" t="n">
        <f aca="false">IF(OR(F17="House &amp; Lot",G17=0),"",I17/G17)</f>
        <v>10700</v>
      </c>
      <c r="K17" s="19" t="s">
        <v>41</v>
      </c>
      <c r="L17" s="19" t="s">
        <v>61</v>
      </c>
      <c r="M17" s="19" t="s">
        <v>51</v>
      </c>
      <c r="N17" s="19"/>
    </row>
    <row r="18" customFormat="false" ht="15" hidden="false" customHeight="false" outlineLevel="0" collapsed="false">
      <c r="A18" s="22" t="s">
        <v>77</v>
      </c>
      <c r="B18" s="23" t="n">
        <v>46260</v>
      </c>
      <c r="C18" s="24" t="s">
        <v>20</v>
      </c>
      <c r="D18" s="24" t="s">
        <v>19</v>
      </c>
      <c r="E18" s="24" t="s">
        <v>46</v>
      </c>
      <c r="F18" s="24" t="s">
        <v>57</v>
      </c>
      <c r="G18" s="25" t="n">
        <v>200</v>
      </c>
      <c r="H18" s="25" t="n">
        <v>60</v>
      </c>
      <c r="I18" s="25" t="n">
        <v>6070000</v>
      </c>
      <c r="J18" s="26" t="str">
        <f aca="false">IF(OR(F18="House &amp; Lot",G18=0),"",I18/G18)</f>
        <v/>
      </c>
      <c r="K18" s="24" t="s">
        <v>75</v>
      </c>
      <c r="L18" s="24" t="s">
        <v>61</v>
      </c>
      <c r="M18" s="24" t="s">
        <v>43</v>
      </c>
      <c r="N18" s="24"/>
    </row>
    <row r="19" customFormat="false" ht="15" hidden="false" customHeight="false" outlineLevel="0" collapsed="false">
      <c r="A19" s="17" t="s">
        <v>78</v>
      </c>
      <c r="B19" s="18" t="n">
        <v>46262</v>
      </c>
      <c r="C19" s="19" t="s">
        <v>15</v>
      </c>
      <c r="D19" s="19" t="s">
        <v>14</v>
      </c>
      <c r="E19" s="19" t="s">
        <v>60</v>
      </c>
      <c r="F19" s="19" t="s">
        <v>40</v>
      </c>
      <c r="G19" s="20" t="n">
        <v>100</v>
      </c>
      <c r="H19" s="20"/>
      <c r="I19" s="20" t="n">
        <v>3940000</v>
      </c>
      <c r="J19" s="21" t="n">
        <f aca="false">IF(OR(F19="House &amp; Lot",G19=0),"",I19/G19)</f>
        <v>39400</v>
      </c>
      <c r="K19" s="19" t="s">
        <v>41</v>
      </c>
      <c r="L19" s="19" t="s">
        <v>42</v>
      </c>
      <c r="M19" s="19" t="s">
        <v>51</v>
      </c>
      <c r="N19" s="19"/>
    </row>
    <row r="20" customFormat="false" ht="15" hidden="false" customHeight="false" outlineLevel="0" collapsed="false">
      <c r="A20" s="22" t="s">
        <v>79</v>
      </c>
      <c r="B20" s="23" t="n">
        <v>46262</v>
      </c>
      <c r="C20" s="24" t="s">
        <v>18</v>
      </c>
      <c r="D20" s="24" t="s">
        <v>19</v>
      </c>
      <c r="E20" s="24" t="s">
        <v>39</v>
      </c>
      <c r="F20" s="24" t="s">
        <v>57</v>
      </c>
      <c r="G20" s="25" t="n">
        <v>300</v>
      </c>
      <c r="H20" s="25" t="n">
        <v>120</v>
      </c>
      <c r="I20" s="25" t="n">
        <v>8650000</v>
      </c>
      <c r="J20" s="26" t="str">
        <f aca="false">IF(OR(F20="House &amp; Lot",G20=0),"",I20/G20)</f>
        <v/>
      </c>
      <c r="K20" s="24" t="s">
        <v>75</v>
      </c>
      <c r="L20" s="24" t="s">
        <v>61</v>
      </c>
      <c r="M20" s="24" t="s">
        <v>55</v>
      </c>
      <c r="N20" s="24"/>
    </row>
    <row r="21" customFormat="false" ht="15" hidden="false" customHeight="false" outlineLevel="0" collapsed="false">
      <c r="A21" s="17" t="s">
        <v>80</v>
      </c>
      <c r="B21" s="18" t="n">
        <v>46263</v>
      </c>
      <c r="C21" s="19" t="s">
        <v>17</v>
      </c>
      <c r="D21" s="19" t="s">
        <v>14</v>
      </c>
      <c r="E21" s="19" t="s">
        <v>67</v>
      </c>
      <c r="F21" s="19" t="s">
        <v>40</v>
      </c>
      <c r="G21" s="20" t="n">
        <v>120</v>
      </c>
      <c r="H21" s="20"/>
      <c r="I21" s="20" t="n">
        <v>1065000</v>
      </c>
      <c r="J21" s="21" t="n">
        <f aca="false">IF(OR(F21="House &amp; Lot",G21=0),"",I21/G21)</f>
        <v>8875</v>
      </c>
      <c r="K21" s="19" t="s">
        <v>41</v>
      </c>
      <c r="L21" s="19" t="s">
        <v>48</v>
      </c>
      <c r="M21" s="19" t="s">
        <v>55</v>
      </c>
      <c r="N21" s="19"/>
    </row>
    <row r="22" customFormat="false" ht="15" hidden="false" customHeight="false" outlineLevel="0" collapsed="false">
      <c r="A22" s="22" t="s">
        <v>81</v>
      </c>
      <c r="B22" s="23" t="n">
        <v>46264</v>
      </c>
      <c r="C22" s="24" t="s">
        <v>13</v>
      </c>
      <c r="D22" s="24" t="s">
        <v>14</v>
      </c>
      <c r="E22" s="24" t="s">
        <v>53</v>
      </c>
      <c r="F22" s="24" t="s">
        <v>65</v>
      </c>
      <c r="G22" s="25" t="n">
        <v>180</v>
      </c>
      <c r="H22" s="25"/>
      <c r="I22" s="25" t="n">
        <v>3525000</v>
      </c>
      <c r="J22" s="26" t="n">
        <f aca="false">IF(OR(F22="House &amp; Lot",G22=0),"",I22/G22)</f>
        <v>19583.3333333333</v>
      </c>
      <c r="K22" s="24" t="s">
        <v>47</v>
      </c>
      <c r="L22" s="24" t="s">
        <v>69</v>
      </c>
      <c r="M22" s="24" t="s">
        <v>51</v>
      </c>
      <c r="N22" s="24"/>
    </row>
    <row r="23" customFormat="false" ht="15" hidden="false" customHeight="false" outlineLevel="0" collapsed="false">
      <c r="A23" s="17" t="s">
        <v>82</v>
      </c>
      <c r="B23" s="18" t="n">
        <v>46265</v>
      </c>
      <c r="C23" s="19" t="s">
        <v>16</v>
      </c>
      <c r="D23" s="19" t="s">
        <v>14</v>
      </c>
      <c r="E23" s="19" t="s">
        <v>46</v>
      </c>
      <c r="F23" s="19" t="s">
        <v>57</v>
      </c>
      <c r="G23" s="20" t="n">
        <v>200</v>
      </c>
      <c r="H23" s="20" t="n">
        <v>120</v>
      </c>
      <c r="I23" s="20" t="n">
        <v>9140000</v>
      </c>
      <c r="J23" s="21" t="str">
        <f aca="false">IF(OR(F23="House &amp; Lot",G23=0),"",I23/G23)</f>
        <v/>
      </c>
      <c r="K23" s="19" t="s">
        <v>75</v>
      </c>
      <c r="L23" s="19" t="s">
        <v>54</v>
      </c>
      <c r="M23" s="19" t="s">
        <v>43</v>
      </c>
      <c r="N23" s="19" t="s">
        <v>83</v>
      </c>
    </row>
    <row r="24" customFormat="false" ht="15" hidden="false" customHeight="false" outlineLevel="0" collapsed="false">
      <c r="A24" s="22" t="s">
        <v>84</v>
      </c>
      <c r="B24" s="23" t="n">
        <v>46266</v>
      </c>
      <c r="C24" s="24" t="s">
        <v>16</v>
      </c>
      <c r="D24" s="24" t="s">
        <v>14</v>
      </c>
      <c r="E24" s="24" t="s">
        <v>50</v>
      </c>
      <c r="F24" s="24" t="s">
        <v>40</v>
      </c>
      <c r="G24" s="25" t="n">
        <v>250</v>
      </c>
      <c r="H24" s="25"/>
      <c r="I24" s="25" t="n">
        <v>7400000</v>
      </c>
      <c r="J24" s="26" t="n">
        <f aca="false">IF(OR(F24="House &amp; Lot",G24=0),"",I24/G24)</f>
        <v>29600</v>
      </c>
      <c r="K24" s="24" t="s">
        <v>41</v>
      </c>
      <c r="L24" s="24" t="s">
        <v>54</v>
      </c>
      <c r="M24" s="24" t="s">
        <v>55</v>
      </c>
      <c r="N24" s="24"/>
    </row>
    <row r="25" customFormat="false" ht="15" hidden="false" customHeight="false" outlineLevel="0" collapsed="false">
      <c r="A25" s="17" t="s">
        <v>85</v>
      </c>
      <c r="B25" s="18" t="n">
        <v>46266</v>
      </c>
      <c r="C25" s="19" t="s">
        <v>22</v>
      </c>
      <c r="D25" s="19" t="s">
        <v>19</v>
      </c>
      <c r="E25" s="19" t="s">
        <v>39</v>
      </c>
      <c r="F25" s="19" t="s">
        <v>57</v>
      </c>
      <c r="G25" s="20" t="n">
        <v>250</v>
      </c>
      <c r="H25" s="20" t="n">
        <v>60</v>
      </c>
      <c r="I25" s="20" t="n">
        <v>5080000</v>
      </c>
      <c r="J25" s="21" t="str">
        <f aca="false">IF(OR(F25="House &amp; Lot",G25=0),"",I25/G25)</f>
        <v/>
      </c>
      <c r="K25" s="19" t="s">
        <v>58</v>
      </c>
      <c r="L25" s="19" t="s">
        <v>69</v>
      </c>
      <c r="M25" s="19" t="s">
        <v>51</v>
      </c>
      <c r="N25" s="19"/>
    </row>
    <row r="26" customFormat="false" ht="15" hidden="false" customHeight="false" outlineLevel="0" collapsed="false">
      <c r="A26" s="22" t="s">
        <v>86</v>
      </c>
      <c r="B26" s="23" t="n">
        <v>46267</v>
      </c>
      <c r="C26" s="24" t="s">
        <v>21</v>
      </c>
      <c r="D26" s="24" t="s">
        <v>19</v>
      </c>
      <c r="E26" s="24" t="s">
        <v>53</v>
      </c>
      <c r="F26" s="24" t="s">
        <v>65</v>
      </c>
      <c r="G26" s="25" t="n">
        <v>300</v>
      </c>
      <c r="H26" s="25"/>
      <c r="I26" s="25" t="n">
        <v>10320000</v>
      </c>
      <c r="J26" s="26" t="n">
        <f aca="false">IF(OR(F26="House &amp; Lot",G26=0),"",I26/G26)</f>
        <v>34400</v>
      </c>
      <c r="K26" s="24" t="s">
        <v>47</v>
      </c>
      <c r="L26" s="24" t="s">
        <v>69</v>
      </c>
      <c r="M26" s="24" t="s">
        <v>51</v>
      </c>
      <c r="N26" s="24"/>
    </row>
    <row r="27" customFormat="false" ht="15" hidden="false" customHeight="false" outlineLevel="0" collapsed="false">
      <c r="A27" s="17" t="s">
        <v>87</v>
      </c>
      <c r="B27" s="18" t="n">
        <v>46268</v>
      </c>
      <c r="C27" s="19" t="s">
        <v>20</v>
      </c>
      <c r="D27" s="19" t="s">
        <v>19</v>
      </c>
      <c r="E27" s="19" t="s">
        <v>60</v>
      </c>
      <c r="F27" s="19" t="s">
        <v>65</v>
      </c>
      <c r="G27" s="20" t="n">
        <v>180</v>
      </c>
      <c r="H27" s="20"/>
      <c r="I27" s="20" t="n">
        <v>4280000</v>
      </c>
      <c r="J27" s="21" t="n">
        <f aca="false">IF(OR(F27="House &amp; Lot",G27=0),"",I27/G27)</f>
        <v>23777.7777777778</v>
      </c>
      <c r="K27" s="19" t="s">
        <v>47</v>
      </c>
      <c r="L27" s="19" t="s">
        <v>61</v>
      </c>
      <c r="M27" s="19" t="s">
        <v>51</v>
      </c>
      <c r="N27" s="19"/>
    </row>
    <row r="28" customFormat="false" ht="15" hidden="false" customHeight="false" outlineLevel="0" collapsed="false">
      <c r="A28" s="22" t="s">
        <v>88</v>
      </c>
      <c r="B28" s="23" t="n">
        <v>46269</v>
      </c>
      <c r="C28" s="24" t="s">
        <v>21</v>
      </c>
      <c r="D28" s="24" t="s">
        <v>19</v>
      </c>
      <c r="E28" s="24" t="s">
        <v>67</v>
      </c>
      <c r="F28" s="24" t="s">
        <v>40</v>
      </c>
      <c r="G28" s="25" t="n">
        <v>250</v>
      </c>
      <c r="H28" s="25"/>
      <c r="I28" s="25" t="n">
        <v>7500000</v>
      </c>
      <c r="J28" s="26" t="n">
        <f aca="false">IF(OR(F28="House &amp; Lot",G28=0),"",I28/G28)</f>
        <v>30000</v>
      </c>
      <c r="K28" s="24" t="s">
        <v>41</v>
      </c>
      <c r="L28" s="24" t="s">
        <v>61</v>
      </c>
      <c r="M28" s="24" t="s">
        <v>51</v>
      </c>
      <c r="N28" s="24"/>
    </row>
    <row r="29" customFormat="false" ht="15" hidden="false" customHeight="false" outlineLevel="0" collapsed="false">
      <c r="A29" s="17" t="s">
        <v>89</v>
      </c>
      <c r="B29" s="18" t="n">
        <v>46270</v>
      </c>
      <c r="C29" s="19" t="s">
        <v>23</v>
      </c>
      <c r="D29" s="19" t="s">
        <v>19</v>
      </c>
      <c r="E29" s="19" t="s">
        <v>50</v>
      </c>
      <c r="F29" s="19" t="s">
        <v>40</v>
      </c>
      <c r="G29" s="20" t="n">
        <v>400</v>
      </c>
      <c r="H29" s="20"/>
      <c r="I29" s="20" t="n">
        <v>4640000</v>
      </c>
      <c r="J29" s="21" t="n">
        <f aca="false">IF(OR(F29="House &amp; Lot",G29=0),"",I29/G29)</f>
        <v>11600</v>
      </c>
      <c r="K29" s="19" t="s">
        <v>47</v>
      </c>
      <c r="L29" s="19" t="s">
        <v>42</v>
      </c>
      <c r="M29" s="19" t="s">
        <v>51</v>
      </c>
      <c r="N29" s="19"/>
    </row>
    <row r="30" customFormat="false" ht="15" hidden="false" customHeight="false" outlineLevel="0" collapsed="false">
      <c r="A30" s="22" t="s">
        <v>90</v>
      </c>
      <c r="B30" s="23" t="n">
        <v>46270</v>
      </c>
      <c r="C30" s="24" t="s">
        <v>23</v>
      </c>
      <c r="D30" s="24" t="s">
        <v>19</v>
      </c>
      <c r="E30" s="24" t="s">
        <v>46</v>
      </c>
      <c r="F30" s="24" t="s">
        <v>57</v>
      </c>
      <c r="G30" s="25" t="n">
        <v>500</v>
      </c>
      <c r="H30" s="25" t="n">
        <v>60</v>
      </c>
      <c r="I30" s="25" t="n">
        <v>5620000</v>
      </c>
      <c r="J30" s="26" t="str">
        <f aca="false">IF(OR(F30="House &amp; Lot",G30=0),"",I30/G30)</f>
        <v/>
      </c>
      <c r="K30" s="24" t="s">
        <v>58</v>
      </c>
      <c r="L30" s="24" t="s">
        <v>54</v>
      </c>
      <c r="M30" s="24" t="s">
        <v>51</v>
      </c>
      <c r="N30" s="24"/>
    </row>
    <row r="31" customFormat="false" ht="15" hidden="false" customHeight="false" outlineLevel="0" collapsed="false">
      <c r="A31" s="17" t="s">
        <v>91</v>
      </c>
      <c r="B31" s="18" t="n">
        <v>46272</v>
      </c>
      <c r="C31" s="19" t="s">
        <v>21</v>
      </c>
      <c r="D31" s="19" t="s">
        <v>19</v>
      </c>
      <c r="E31" s="19" t="s">
        <v>39</v>
      </c>
      <c r="F31" s="19" t="s">
        <v>40</v>
      </c>
      <c r="G31" s="20" t="n">
        <v>400</v>
      </c>
      <c r="H31" s="20"/>
      <c r="I31" s="20" t="n">
        <v>16280000</v>
      </c>
      <c r="J31" s="21" t="n">
        <f aca="false">IF(OR(F31="House &amp; Lot",G31=0),"",I31/G31)</f>
        <v>40700</v>
      </c>
      <c r="K31" s="19" t="s">
        <v>41</v>
      </c>
      <c r="L31" s="19" t="s">
        <v>69</v>
      </c>
      <c r="M31" s="19" t="s">
        <v>51</v>
      </c>
      <c r="N31" s="19"/>
    </row>
    <row r="32" customFormat="false" ht="15" hidden="false" customHeight="false" outlineLevel="0" collapsed="false">
      <c r="A32" s="22" t="s">
        <v>92</v>
      </c>
      <c r="B32" s="23" t="n">
        <v>46274</v>
      </c>
      <c r="C32" s="24" t="s">
        <v>13</v>
      </c>
      <c r="D32" s="24" t="s">
        <v>14</v>
      </c>
      <c r="E32" s="24" t="s">
        <v>39</v>
      </c>
      <c r="F32" s="24" t="s">
        <v>40</v>
      </c>
      <c r="G32" s="25" t="n">
        <v>500</v>
      </c>
      <c r="H32" s="25"/>
      <c r="I32" s="25" t="n">
        <v>10250000</v>
      </c>
      <c r="J32" s="26" t="n">
        <f aca="false">IF(OR(F32="House &amp; Lot",G32=0),"",I32/G32)</f>
        <v>20500</v>
      </c>
      <c r="K32" s="24" t="s">
        <v>41</v>
      </c>
      <c r="L32" s="24" t="s">
        <v>42</v>
      </c>
      <c r="M32" s="24" t="s">
        <v>43</v>
      </c>
      <c r="N32" s="24"/>
    </row>
    <row r="33" customFormat="false" ht="15" hidden="false" customHeight="false" outlineLevel="0" collapsed="false">
      <c r="A33" s="17" t="s">
        <v>93</v>
      </c>
      <c r="B33" s="18" t="n">
        <v>46278</v>
      </c>
      <c r="C33" s="19" t="s">
        <v>13</v>
      </c>
      <c r="D33" s="19" t="s">
        <v>14</v>
      </c>
      <c r="E33" s="19" t="s">
        <v>67</v>
      </c>
      <c r="F33" s="19" t="s">
        <v>40</v>
      </c>
      <c r="G33" s="20" t="n">
        <v>250</v>
      </c>
      <c r="H33" s="20"/>
      <c r="I33" s="20" t="n">
        <v>5350000</v>
      </c>
      <c r="J33" s="21" t="n">
        <f aca="false">IF(OR(F33="House &amp; Lot",G33=0),"",I33/G33)</f>
        <v>21400</v>
      </c>
      <c r="K33" s="19" t="s">
        <v>41</v>
      </c>
      <c r="L33" s="19" t="s">
        <v>42</v>
      </c>
      <c r="M33" s="19" t="s">
        <v>51</v>
      </c>
      <c r="N33" s="19"/>
    </row>
    <row r="34" customFormat="false" ht="15" hidden="false" customHeight="false" outlineLevel="0" collapsed="false">
      <c r="A34" s="22" t="s">
        <v>94</v>
      </c>
      <c r="B34" s="23" t="n">
        <v>46280</v>
      </c>
      <c r="C34" s="24" t="s">
        <v>16</v>
      </c>
      <c r="D34" s="24" t="s">
        <v>14</v>
      </c>
      <c r="E34" s="24" t="s">
        <v>53</v>
      </c>
      <c r="F34" s="24" t="s">
        <v>40</v>
      </c>
      <c r="G34" s="25" t="n">
        <v>100</v>
      </c>
      <c r="H34" s="25"/>
      <c r="I34" s="25" t="n">
        <v>2530000</v>
      </c>
      <c r="J34" s="26" t="n">
        <f aca="false">IF(OR(F34="House &amp; Lot",G34=0),"",I34/G34)</f>
        <v>25300</v>
      </c>
      <c r="K34" s="24" t="s">
        <v>41</v>
      </c>
      <c r="L34" s="24" t="s">
        <v>61</v>
      </c>
      <c r="M34" s="24" t="s">
        <v>51</v>
      </c>
      <c r="N34" s="24"/>
    </row>
    <row r="35" customFormat="false" ht="15" hidden="false" customHeight="false" outlineLevel="0" collapsed="false">
      <c r="A35" s="17" t="s">
        <v>95</v>
      </c>
      <c r="B35" s="18" t="n">
        <v>46281</v>
      </c>
      <c r="C35" s="19" t="s">
        <v>17</v>
      </c>
      <c r="D35" s="19" t="s">
        <v>14</v>
      </c>
      <c r="E35" s="19" t="s">
        <v>50</v>
      </c>
      <c r="F35" s="19" t="s">
        <v>57</v>
      </c>
      <c r="G35" s="20" t="n">
        <v>400</v>
      </c>
      <c r="H35" s="20" t="n">
        <v>60</v>
      </c>
      <c r="I35" s="20" t="n">
        <v>4940000</v>
      </c>
      <c r="J35" s="21" t="str">
        <f aca="false">IF(OR(F35="House &amp; Lot",G35=0),"",I35/G35)</f>
        <v/>
      </c>
      <c r="K35" s="19" t="s">
        <v>75</v>
      </c>
      <c r="L35" s="19" t="s">
        <v>42</v>
      </c>
      <c r="M35" s="19" t="s">
        <v>51</v>
      </c>
      <c r="N35" s="19"/>
    </row>
    <row r="36" customFormat="false" ht="15" hidden="false" customHeight="false" outlineLevel="0" collapsed="false">
      <c r="A36" s="22" t="s">
        <v>96</v>
      </c>
      <c r="B36" s="23" t="n">
        <v>46281</v>
      </c>
      <c r="C36" s="24" t="s">
        <v>23</v>
      </c>
      <c r="D36" s="24" t="s">
        <v>19</v>
      </c>
      <c r="E36" s="24" t="s">
        <v>60</v>
      </c>
      <c r="F36" s="24" t="s">
        <v>65</v>
      </c>
      <c r="G36" s="25" t="n">
        <v>500</v>
      </c>
      <c r="H36" s="25"/>
      <c r="I36" s="25" t="n">
        <v>4450000</v>
      </c>
      <c r="J36" s="26" t="n">
        <f aca="false">IF(OR(F36="House &amp; Lot",G36=0),"",I36/G36)</f>
        <v>8900</v>
      </c>
      <c r="K36" s="24" t="s">
        <v>47</v>
      </c>
      <c r="L36" s="24" t="s">
        <v>61</v>
      </c>
      <c r="M36" s="24" t="s">
        <v>51</v>
      </c>
      <c r="N36" s="24"/>
    </row>
    <row r="37" customFormat="false" ht="15" hidden="false" customHeight="false" outlineLevel="0" collapsed="false">
      <c r="A37" s="17" t="s">
        <v>97</v>
      </c>
      <c r="B37" s="18" t="n">
        <v>46282</v>
      </c>
      <c r="C37" s="19" t="s">
        <v>15</v>
      </c>
      <c r="D37" s="19" t="s">
        <v>14</v>
      </c>
      <c r="E37" s="19" t="s">
        <v>39</v>
      </c>
      <c r="F37" s="19" t="s">
        <v>57</v>
      </c>
      <c r="G37" s="20" t="n">
        <v>120</v>
      </c>
      <c r="H37" s="20" t="n">
        <v>80</v>
      </c>
      <c r="I37" s="20" t="n">
        <v>6420000</v>
      </c>
      <c r="J37" s="21" t="str">
        <f aca="false">IF(OR(F37="House &amp; Lot",G37=0),"",I37/G37)</f>
        <v/>
      </c>
      <c r="K37" s="19" t="s">
        <v>75</v>
      </c>
      <c r="L37" s="19" t="s">
        <v>42</v>
      </c>
      <c r="M37" s="19" t="s">
        <v>43</v>
      </c>
      <c r="N37" s="19"/>
    </row>
    <row r="38" customFormat="false" ht="15" hidden="false" customHeight="false" outlineLevel="0" collapsed="false">
      <c r="A38" s="22" t="s">
        <v>98</v>
      </c>
      <c r="B38" s="23" t="n">
        <v>46282</v>
      </c>
      <c r="C38" s="24" t="s">
        <v>18</v>
      </c>
      <c r="D38" s="24" t="s">
        <v>19</v>
      </c>
      <c r="E38" s="24" t="s">
        <v>60</v>
      </c>
      <c r="F38" s="24" t="s">
        <v>40</v>
      </c>
      <c r="G38" s="25" t="n">
        <v>200</v>
      </c>
      <c r="H38" s="25"/>
      <c r="I38" s="25" t="n">
        <v>4460000</v>
      </c>
      <c r="J38" s="26" t="n">
        <f aca="false">IF(OR(F38="House &amp; Lot",G38=0),"",I38/G38)</f>
        <v>22300</v>
      </c>
      <c r="K38" s="24" t="s">
        <v>41</v>
      </c>
      <c r="L38" s="24" t="s">
        <v>69</v>
      </c>
      <c r="M38" s="24" t="s">
        <v>55</v>
      </c>
      <c r="N38" s="24"/>
    </row>
  </sheetData>
  <autoFilter ref="A2:N38"/>
  <mergeCells count="1">
    <mergeCell ref="A1:N1"/>
  </mergeCells>
  <dataValidations count="2">
    <dataValidation allowBlank="true" errorStyle="stop" operator="between" showDropDown="false" showErrorMessage="false" showInputMessage="false" sqref="F3:F98" type="list">
      <formula1>"Residential lot,Commercial lot,House &amp; Lot"</formula1>
      <formula2>0</formula2>
    </dataValidation>
    <dataValidation allowBlank="true" errorStyle="stop" operator="between" showDropDown="false" showErrorMessage="false" showInputMessage="false" sqref="M3:M98" type="list">
      <formula1>"Verified,Pending,Dropped"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651F"/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22.05" hidden="false" customHeight="false" outlineLevel="0" collapsed="false">
      <c r="B2" s="27" t="s">
        <v>99</v>
      </c>
    </row>
    <row r="3" customFormat="false" ht="15" hidden="false" customHeight="false" outlineLevel="0" collapsed="false">
      <c r="B3" s="2" t="s">
        <v>100</v>
      </c>
    </row>
    <row r="5" customFormat="false" ht="19.5" hidden="false" customHeight="true" outlineLevel="0" collapsed="false">
      <c r="B5" s="28" t="s">
        <v>101</v>
      </c>
      <c r="C5" s="29" t="s">
        <v>102</v>
      </c>
    </row>
    <row r="6" customFormat="false" ht="31.5" hidden="false" customHeight="true" outlineLevel="0" collapsed="false">
      <c r="B6" s="30" t="s">
        <v>103</v>
      </c>
      <c r="C6" s="31" t="s">
        <v>104</v>
      </c>
    </row>
    <row r="7" customFormat="false" ht="19.5" hidden="false" customHeight="true" outlineLevel="0" collapsed="false">
      <c r="B7" s="28" t="s">
        <v>105</v>
      </c>
      <c r="C7" s="29" t="s">
        <v>106</v>
      </c>
    </row>
    <row r="8" customFormat="false" ht="31.5" hidden="false" customHeight="true" outlineLevel="0" collapsed="false">
      <c r="B8" s="28" t="s">
        <v>107</v>
      </c>
      <c r="C8" s="29" t="s">
        <v>108</v>
      </c>
    </row>
    <row r="9" customFormat="false" ht="31.5" hidden="false" customHeight="true" outlineLevel="0" collapsed="false">
      <c r="B9" s="28" t="s">
        <v>109</v>
      </c>
      <c r="C9" s="29" t="s">
        <v>110</v>
      </c>
    </row>
    <row r="10" customFormat="false" ht="31.5" hidden="false" customHeight="true" outlineLevel="0" collapsed="false">
      <c r="B10" s="28" t="s">
        <v>111</v>
      </c>
      <c r="C10" s="29" t="s">
        <v>112</v>
      </c>
    </row>
    <row r="11" customFormat="false" ht="31.5" hidden="false" customHeight="true" outlineLevel="0" collapsed="false">
      <c r="B11" s="28" t="s">
        <v>113</v>
      </c>
      <c r="C11" s="29" t="s">
        <v>114</v>
      </c>
    </row>
    <row r="12" customFormat="false" ht="31.5" hidden="false" customHeight="true" outlineLevel="0" collapsed="false">
      <c r="B12" s="28" t="s">
        <v>115</v>
      </c>
      <c r="C12" s="29" t="s">
        <v>116</v>
      </c>
    </row>
    <row r="13" customFormat="false" ht="19.5" hidden="false" customHeight="true" outlineLevel="0" collapsed="false">
      <c r="B13" s="28" t="s">
        <v>117</v>
      </c>
      <c r="C13" s="29" t="s">
        <v>118</v>
      </c>
    </row>
    <row r="15" customFormat="false" ht="15" hidden="false" customHeight="false" outlineLevel="0" collapsed="false">
      <c r="B15" s="32" t="s">
        <v>119</v>
      </c>
    </row>
    <row r="16" customFormat="false" ht="15" hidden="false" customHeight="false" outlineLevel="0" collapsed="false">
      <c r="B16" s="33" t="s">
        <v>120</v>
      </c>
      <c r="C16" s="34" t="s">
        <v>121</v>
      </c>
    </row>
    <row r="17" customFormat="false" ht="15" hidden="false" customHeight="false" outlineLevel="0" collapsed="false">
      <c r="B17" s="34" t="s">
        <v>122</v>
      </c>
      <c r="C17" s="3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2026-10-13T10:07:56Z</dcterms:created>
  <dc:creator>openpyxl</dc:creator>
  <dc:description/>
  <dc:language>en-US</dc:language>
  <cp:lastModifiedBy/>
  <dcterms:modified xsi:type="dcterms:W3CDTF">2026-10-13T10:08:00Z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